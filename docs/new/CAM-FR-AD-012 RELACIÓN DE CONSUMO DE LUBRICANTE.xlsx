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_\Desktop\Luis Hernández\Septiembre\"/>
    </mc:Choice>
  </mc:AlternateContent>
  <bookViews>
    <workbookView xWindow="0" yWindow="0" windowWidth="19200" windowHeight="6930" tabRatio="892" activeTab="3"/>
  </bookViews>
  <sheets>
    <sheet name="15W-40" sheetId="2" r:id="rId1"/>
    <sheet name="SAE 50" sheetId="3" r:id="rId2"/>
    <sheet name="GEAR 85W-140" sheetId="4" r:id="rId3"/>
    <sheet name="GRASA LITHIUM 15 KG" sheetId="5" r:id="rId4"/>
  </sheets>
  <definedNames>
    <definedName name="ASCASCASCASDCD" localSheetId="3">#REF!</definedName>
    <definedName name="ASCASCASCASDCD">#REF!</definedName>
    <definedName name="AWSEDRFTGYHU" localSheetId="3">#REF!</definedName>
    <definedName name="AWSEDRFTGYHU">#REF!</definedName>
    <definedName name="AYUDANTE" localSheetId="0">#REF!</definedName>
    <definedName name="AYUDANTE" localSheetId="2">#REF!</definedName>
    <definedName name="AYUDANTE" localSheetId="3">#REF!</definedName>
    <definedName name="AYUDANTE" localSheetId="1">#REF!</definedName>
    <definedName name="AYUDANTE">#REF!</definedName>
    <definedName name="AYUDANTES" localSheetId="0">#REF!</definedName>
    <definedName name="AYUDANTES" localSheetId="2">#REF!</definedName>
    <definedName name="AYUDANTES" localSheetId="3">#REF!</definedName>
    <definedName name="AYUDANTES" localSheetId="1">#REF!</definedName>
    <definedName name="AYUDANTES">#REF!</definedName>
    <definedName name="AYUDANTESCA" localSheetId="3">#REF!</definedName>
    <definedName name="AYUDANTESCA">#REF!</definedName>
    <definedName name="CARGOS" localSheetId="0">#REF!</definedName>
    <definedName name="CARGOS" localSheetId="2">#REF!</definedName>
    <definedName name="CARGOS" localSheetId="3">#REF!</definedName>
    <definedName name="CARGOS" localSheetId="1">#REF!</definedName>
    <definedName name="CARGOS">#REF!</definedName>
    <definedName name="CE15W40" localSheetId="2">#REF!</definedName>
    <definedName name="CE15W40" localSheetId="3">#REF!</definedName>
    <definedName name="CE15W40">#REF!</definedName>
    <definedName name="CEDULAS" localSheetId="0">#REF!</definedName>
    <definedName name="CEDULAS" localSheetId="2">#REF!</definedName>
    <definedName name="CEDULAS" localSheetId="3">#REF!</definedName>
    <definedName name="CEDULAS" localSheetId="1">#REF!</definedName>
    <definedName name="CEDULAS">#REF!</definedName>
    <definedName name="CHODER" localSheetId="0">#REF!</definedName>
    <definedName name="CHODER" localSheetId="2">#REF!</definedName>
    <definedName name="CHODER" localSheetId="3">#REF!</definedName>
    <definedName name="CHODER" localSheetId="1">#REF!</definedName>
    <definedName name="CHODER">#REF!</definedName>
    <definedName name="CHOFER" localSheetId="0">#REF!</definedName>
    <definedName name="CHOFER" localSheetId="2">#REF!</definedName>
    <definedName name="CHOFER" localSheetId="3">#REF!</definedName>
    <definedName name="CHOFER" localSheetId="1">#REF!</definedName>
    <definedName name="CHOFER">#REF!</definedName>
    <definedName name="CHOFER2" localSheetId="3">#REF!</definedName>
    <definedName name="CHOFER2">#REF!</definedName>
    <definedName name="DBFBDGHKILYHJDGARE" localSheetId="3">#REF!</definedName>
    <definedName name="DBFBDGHKILYHJDGARE">#REF!</definedName>
    <definedName name="FDSA" localSheetId="3">#REF!</definedName>
    <definedName name="FDSA">#REF!</definedName>
    <definedName name="GASOLINA" localSheetId="0">#REF!</definedName>
    <definedName name="GASOLINA" localSheetId="2">#REF!</definedName>
    <definedName name="GASOLINA" localSheetId="3">#REF!</definedName>
    <definedName name="GASOLINA" localSheetId="1">#REF!</definedName>
    <definedName name="GASOLINA">#REF!</definedName>
    <definedName name="henry" localSheetId="3">#REF!</definedName>
    <definedName name="henry">#REF!</definedName>
    <definedName name="ijijim" localSheetId="3">#REF!</definedName>
    <definedName name="ijijim">#REF!</definedName>
    <definedName name="IOKIJUHYGTFRD" localSheetId="2">#REF!</definedName>
    <definedName name="IOKIJUHYGTFRD" localSheetId="3">#REF!</definedName>
    <definedName name="IOKIJUHYGTFRD">#REF!</definedName>
    <definedName name="IstUnidades" localSheetId="0">#REF!</definedName>
    <definedName name="IstUnidades" localSheetId="2">#REF!</definedName>
    <definedName name="IstUnidades" localSheetId="3">#REF!</definedName>
    <definedName name="IstUnidades" localSheetId="1">#REF!</definedName>
    <definedName name="IstUnidades">#REF!</definedName>
    <definedName name="IVAN" localSheetId="2">#REF!</definedName>
    <definedName name="IVAN" localSheetId="3">#REF!</definedName>
    <definedName name="IVAN">#REF!</definedName>
    <definedName name="JESUS" localSheetId="2">#REF!</definedName>
    <definedName name="JESUS" localSheetId="3">#REF!</definedName>
    <definedName name="JESUS">#REF!</definedName>
    <definedName name="JESUS1" localSheetId="3">#REF!</definedName>
    <definedName name="JESUS1">#REF!</definedName>
    <definedName name="JESUS3" localSheetId="3">#REF!</definedName>
    <definedName name="JESUS3">#REF!</definedName>
    <definedName name="JESUS59" localSheetId="3">#REF!</definedName>
    <definedName name="JESUS59">#REF!</definedName>
    <definedName name="JESUS757646554" localSheetId="3">#REF!</definedName>
    <definedName name="JESUS757646554">#REF!</definedName>
    <definedName name="jesusromero" localSheetId="3">#REF!</definedName>
    <definedName name="jesusromero">#REF!</definedName>
    <definedName name="JOSE" localSheetId="2">#REF!</definedName>
    <definedName name="JOSE" localSheetId="3">#REF!</definedName>
    <definedName name="JOSE">#REF!</definedName>
    <definedName name="julieta" localSheetId="3">#REF!</definedName>
    <definedName name="julieta">#REF!</definedName>
    <definedName name="JULIO" localSheetId="3">#REF!</definedName>
    <definedName name="JULIO">#REF!</definedName>
    <definedName name="kerar" localSheetId="3">#REF!</definedName>
    <definedName name="kerar">#REF!</definedName>
    <definedName name="kjhgfdsa" localSheetId="3">#REF!</definedName>
    <definedName name="kjhgfdsa">#REF!</definedName>
    <definedName name="L" localSheetId="3">#REF!</definedName>
    <definedName name="L">#REF!</definedName>
    <definedName name="LOKIJUHYGTF" localSheetId="3">#REF!</definedName>
    <definedName name="LOKIJUHYGTF">#REF!</definedName>
    <definedName name="LORENA" localSheetId="2">#REF!</definedName>
    <definedName name="LORENA" localSheetId="3">#REF!</definedName>
    <definedName name="LORENA">#REF!</definedName>
    <definedName name="lstAyudanteCodigo" localSheetId="0">#REF!</definedName>
    <definedName name="lstAyudanteCodigo" localSheetId="2">#REF!</definedName>
    <definedName name="lstAyudanteCodigo" localSheetId="3">#REF!</definedName>
    <definedName name="lstAyudanteCodigo" localSheetId="1">#REF!</definedName>
    <definedName name="lstAyudanteCodigo">#REF!</definedName>
    <definedName name="lstChoferCodigo" localSheetId="0">#REF!</definedName>
    <definedName name="lstChoferCodigo" localSheetId="2">#REF!</definedName>
    <definedName name="lstChoferCodigo" localSheetId="3">#REF!</definedName>
    <definedName name="lstChoferCodigo" localSheetId="1">#REF!</definedName>
    <definedName name="lstChoferCodigo">#REF!</definedName>
    <definedName name="lstControlador" localSheetId="0">#REF!</definedName>
    <definedName name="lstControlador" localSheetId="2">#REF!</definedName>
    <definedName name="lstControlador" localSheetId="3">#REF!</definedName>
    <definedName name="lstControlador" localSheetId="1">#REF!</definedName>
    <definedName name="lstControlador">#REF!</definedName>
    <definedName name="lstInventario" localSheetId="0">#REF!</definedName>
    <definedName name="lstInventario" localSheetId="2">#REF!</definedName>
    <definedName name="lstInventario" localSheetId="3">#REF!</definedName>
    <definedName name="lstInventario" localSheetId="1">#REF!</definedName>
    <definedName name="lstInventario">#REF!</definedName>
    <definedName name="lstIsla" localSheetId="0">#REF!</definedName>
    <definedName name="lstIsla" localSheetId="2">#REF!</definedName>
    <definedName name="lstIsla" localSheetId="3">#REF!</definedName>
    <definedName name="lstIsla" localSheetId="1">#REF!</definedName>
    <definedName name="lstIsla">#REF!</definedName>
    <definedName name="lstPersonal" localSheetId="0">#REF!</definedName>
    <definedName name="lstPersonal" localSheetId="2">#REF!</definedName>
    <definedName name="lstPersonal" localSheetId="3">#REF!</definedName>
    <definedName name="lstPersonal" localSheetId="1">#REF!</definedName>
    <definedName name="lstPersonal">#REF!</definedName>
    <definedName name="lstSiNo" localSheetId="0">#REF!</definedName>
    <definedName name="lstSiNo" localSheetId="2">#REF!</definedName>
    <definedName name="lstSiNo" localSheetId="3">#REF!</definedName>
    <definedName name="lstSiNo" localSheetId="1">#REF!</definedName>
    <definedName name="lstSiNo">#REF!</definedName>
    <definedName name="lstUnidades" localSheetId="0">#REF!</definedName>
    <definedName name="lstUnidades" localSheetId="2">#REF!</definedName>
    <definedName name="lstUnidades" localSheetId="3">#REF!</definedName>
    <definedName name="lstUnidades" localSheetId="1">#REF!</definedName>
    <definedName name="lstUnidades">#REF!</definedName>
    <definedName name="lstVOBO" localSheetId="0">#REF!</definedName>
    <definedName name="lstVOBO" localSheetId="2">#REF!</definedName>
    <definedName name="lstVOBO" localSheetId="3">#REF!</definedName>
    <definedName name="lstVOBO" localSheetId="1">#REF!</definedName>
    <definedName name="lstVOBO">#REF!</definedName>
    <definedName name="maira" localSheetId="3">#REF!</definedName>
    <definedName name="maira">#REF!</definedName>
    <definedName name="MAN_PREVENTIVO" localSheetId="0">#REF!</definedName>
    <definedName name="MAN_PREVENTIVO" localSheetId="2">#REF!</definedName>
    <definedName name="MAN_PREVENTIVO" localSheetId="3">#REF!</definedName>
    <definedName name="MAN_PREVENTIVO" localSheetId="1">#REF!</definedName>
    <definedName name="MAN_PREVENTIVO">#REF!</definedName>
    <definedName name="MANT_CORRECTIVO" localSheetId="0">#REF!</definedName>
    <definedName name="MANT_CORRECTIVO" localSheetId="2">#REF!</definedName>
    <definedName name="MANT_CORRECTIVO" localSheetId="3">#REF!</definedName>
    <definedName name="MANT_CORRECTIVO" localSheetId="1">#REF!</definedName>
    <definedName name="MANT_CORRECTIVO">#REF!</definedName>
    <definedName name="MANT_PREVENTIVO" localSheetId="0">#REF!</definedName>
    <definedName name="MANT_PREVENTIVO" localSheetId="2">#REF!</definedName>
    <definedName name="MANT_PREVENTIVO" localSheetId="3">#REF!</definedName>
    <definedName name="MANT_PREVENTIVO" localSheetId="1">#REF!</definedName>
    <definedName name="MANT_PREVENTIVO">#REF!</definedName>
    <definedName name="MANTCORRECTIVO" localSheetId="0">#REF!</definedName>
    <definedName name="MANTCORRECTIVO" localSheetId="2">#REF!</definedName>
    <definedName name="MANTCORRECTIVO" localSheetId="3">#REF!</definedName>
    <definedName name="MANTCORRECTIVO" localSheetId="1">#REF!</definedName>
    <definedName name="MANTCORRECTIVO">#REF!</definedName>
    <definedName name="MANTPREV" localSheetId="0">#REF!</definedName>
    <definedName name="MANTPREV" localSheetId="2">#REF!</definedName>
    <definedName name="MANTPREV" localSheetId="3">#REF!</definedName>
    <definedName name="MANTPREV" localSheetId="1">#REF!</definedName>
    <definedName name="MANTPREV">#REF!</definedName>
    <definedName name="MANTPREVENTIVO" localSheetId="0">#REF!</definedName>
    <definedName name="MANTPREVENTIVO" localSheetId="2">#REF!</definedName>
    <definedName name="MANTPREVENTIVO" localSheetId="3">#REF!</definedName>
    <definedName name="MANTPREVENTIVO" localSheetId="1">#REF!</definedName>
    <definedName name="MANTPREVENTIVO">#REF!</definedName>
    <definedName name="massiel" localSheetId="3">#REF!</definedName>
    <definedName name="massiel">#REF!</definedName>
    <definedName name="MWRSHFGJUKHJKGJMG" localSheetId="3">#REF!</definedName>
    <definedName name="MWRSHFGJUKHJKGJMG">#REF!</definedName>
    <definedName name="NOMBREYAPELLIDOS" localSheetId="0">#REF!</definedName>
    <definedName name="NOMBREYAPELLIDOS" localSheetId="2">#REF!</definedName>
    <definedName name="NOMBREYAPELLIDOS" localSheetId="3">#REF!</definedName>
    <definedName name="NOMBREYAPELLIDOS" localSheetId="1">#REF!</definedName>
    <definedName name="NOMBREYAPELLIDOS">#REF!</definedName>
    <definedName name="Ñ" localSheetId="3">#REF!</definedName>
    <definedName name="Ñ">#REF!</definedName>
    <definedName name="ÑPLOKIJUHYGT" localSheetId="3">#REF!</definedName>
    <definedName name="ÑPLOKIJUHYGT">#REF!</definedName>
    <definedName name="ñplokijuhygtfrdeswaq" localSheetId="3">#REF!</definedName>
    <definedName name="ñplokijuhygtfrdeswaq">#REF!</definedName>
    <definedName name="ÓJO88I7FDIYTCKYBLU" localSheetId="3">#REF!</definedName>
    <definedName name="ÓJO88I7FDIYTCKYBLU">#REF!</definedName>
    <definedName name="PÑ" localSheetId="3">#REF!</definedName>
    <definedName name="PÑ">#REF!</definedName>
    <definedName name="SACSRGRYJUKU" localSheetId="3">#REF!</definedName>
    <definedName name="SACSRGRYJUKU">#REF!</definedName>
    <definedName name="safesrftyhik" localSheetId="3">#REF!</definedName>
    <definedName name="safesrftyhik">#REF!</definedName>
    <definedName name="SUMINISTRO" localSheetId="0">#REF!</definedName>
    <definedName name="SUMINISTRO" localSheetId="2">#REF!</definedName>
    <definedName name="SUMINISTRO" localSheetId="3">#REF!</definedName>
    <definedName name="SUMINISTRO" localSheetId="1">#REF!</definedName>
    <definedName name="SUMINISTRO">#REF!</definedName>
    <definedName name="THTH11244565674" localSheetId="3">#REF!</definedName>
    <definedName name="THTH11244565674">#REF!</definedName>
    <definedName name="TIPO_DE_MANT" localSheetId="0">#REF!</definedName>
    <definedName name="TIPO_DE_MANT" localSheetId="2">#REF!</definedName>
    <definedName name="TIPO_DE_MANT" localSheetId="3">#REF!</definedName>
    <definedName name="TIPO_DE_MANT" localSheetId="1">#REF!</definedName>
    <definedName name="TIPO_DE_MANT">#REF!</definedName>
    <definedName name="tipodemant" localSheetId="3">#REF!</definedName>
    <definedName name="tipodemant">#REF!</definedName>
    <definedName name="TIPODEMANT." localSheetId="0">#REF!</definedName>
    <definedName name="TIPODEMANT." localSheetId="2">#REF!</definedName>
    <definedName name="TIPODEMANT." localSheetId="3">#REF!</definedName>
    <definedName name="TIPODEMANT." localSheetId="1">#REF!</definedName>
    <definedName name="TIPODEMANT.">#REF!</definedName>
    <definedName name="TIPODEMnt" localSheetId="3">#REF!</definedName>
    <definedName name="TIPODEMnt">#REF!</definedName>
    <definedName name="UNIDAD01" localSheetId="0">#REF!</definedName>
    <definedName name="UNIDAD01" localSheetId="2">#REF!</definedName>
    <definedName name="UNIDAD01" localSheetId="3">#REF!</definedName>
    <definedName name="UNIDAD01" localSheetId="1">#REF!</definedName>
    <definedName name="UNIDAD01">#REF!</definedName>
    <definedName name="UNIDAD02" localSheetId="0">#REF!</definedName>
    <definedName name="UNIDAD02" localSheetId="2">#REF!</definedName>
    <definedName name="UNIDAD02" localSheetId="3">#REF!</definedName>
    <definedName name="UNIDAD02" localSheetId="1">#REF!</definedName>
    <definedName name="UNIDAD02">#REF!</definedName>
    <definedName name="UNIDAD03" localSheetId="0">#REF!</definedName>
    <definedName name="UNIDAD03" localSheetId="2">#REF!</definedName>
    <definedName name="UNIDAD03" localSheetId="3">#REF!</definedName>
    <definedName name="UNIDAD03" localSheetId="1">#REF!</definedName>
    <definedName name="UNIDAD03">#REF!</definedName>
    <definedName name="UNIDAD04" localSheetId="0">#REF!</definedName>
    <definedName name="UNIDAD04" localSheetId="2">#REF!</definedName>
    <definedName name="UNIDAD04" localSheetId="3">#REF!</definedName>
    <definedName name="UNIDAD04" localSheetId="1">#REF!</definedName>
    <definedName name="UNIDAD04">#REF!</definedName>
    <definedName name="UNIDAD05" localSheetId="0">#REF!</definedName>
    <definedName name="UNIDAD05" localSheetId="2">#REF!</definedName>
    <definedName name="UNIDAD05" localSheetId="3">#REF!</definedName>
    <definedName name="UNIDAD05" localSheetId="1">#REF!</definedName>
    <definedName name="UNIDAD05">#REF!</definedName>
    <definedName name="UNIDAD06" localSheetId="0">#REF!</definedName>
    <definedName name="UNIDAD06" localSheetId="2">#REF!</definedName>
    <definedName name="UNIDAD06" localSheetId="3">#REF!</definedName>
    <definedName name="UNIDAD06" localSheetId="1">#REF!</definedName>
    <definedName name="UNIDAD06">#REF!</definedName>
    <definedName name="UNIDAD07" localSheetId="0">#REF!</definedName>
    <definedName name="UNIDAD07" localSheetId="2">#REF!</definedName>
    <definedName name="UNIDAD07" localSheetId="3">#REF!</definedName>
    <definedName name="UNIDAD07" localSheetId="1">#REF!</definedName>
    <definedName name="UNIDAD07">#REF!</definedName>
    <definedName name="UNIDAD08" localSheetId="0">#REF!</definedName>
    <definedName name="UNIDAD08" localSheetId="2">#REF!</definedName>
    <definedName name="UNIDAD08" localSheetId="3">#REF!</definedName>
    <definedName name="UNIDAD08" localSheetId="1">#REF!</definedName>
    <definedName name="UNIDAD08">#REF!</definedName>
    <definedName name="UNIDAD09" localSheetId="0">#REF!</definedName>
    <definedName name="UNIDAD09" localSheetId="2">#REF!</definedName>
    <definedName name="UNIDAD09" localSheetId="3">#REF!</definedName>
    <definedName name="UNIDAD09" localSheetId="1">#REF!</definedName>
    <definedName name="UNIDAD09">#REF!</definedName>
    <definedName name="UNIDAD1" localSheetId="0">#REF!</definedName>
    <definedName name="UNIDAD1" localSheetId="2">#REF!</definedName>
    <definedName name="UNIDAD1" localSheetId="3">#REF!</definedName>
    <definedName name="UNIDAD1" localSheetId="1">#REF!</definedName>
    <definedName name="UNIDAD1">#REF!</definedName>
    <definedName name="UNIDAD10" localSheetId="0">#REF!</definedName>
    <definedName name="UNIDAD10" localSheetId="2">#REF!</definedName>
    <definedName name="UNIDAD10" localSheetId="3">#REF!</definedName>
    <definedName name="UNIDAD10" localSheetId="1">#REF!</definedName>
    <definedName name="UNIDAD10">#REF!</definedName>
    <definedName name="UNIDAD11" localSheetId="0">#REF!</definedName>
    <definedName name="UNIDAD11" localSheetId="2">#REF!</definedName>
    <definedName name="UNIDAD11" localSheetId="3">#REF!</definedName>
    <definedName name="UNIDAD11" localSheetId="1">#REF!</definedName>
    <definedName name="UNIDAD11">#REF!</definedName>
    <definedName name="UNIDAD12" localSheetId="0">#REF!</definedName>
    <definedName name="UNIDAD12" localSheetId="2">#REF!</definedName>
    <definedName name="UNIDAD12" localSheetId="3">#REF!</definedName>
    <definedName name="UNIDAD12" localSheetId="1">#REF!</definedName>
    <definedName name="UNIDAD12">#REF!</definedName>
    <definedName name="UNIDAD13" localSheetId="0">#REF!</definedName>
    <definedName name="UNIDAD13" localSheetId="2">#REF!</definedName>
    <definedName name="UNIDAD13" localSheetId="3">#REF!</definedName>
    <definedName name="UNIDAD13" localSheetId="1">#REF!</definedName>
    <definedName name="UNIDAD13">#REF!</definedName>
    <definedName name="UNIDAD14" localSheetId="0">#REF!</definedName>
    <definedName name="UNIDAD14" localSheetId="2">#REF!</definedName>
    <definedName name="UNIDAD14" localSheetId="3">#REF!</definedName>
    <definedName name="UNIDAD14" localSheetId="1">#REF!</definedName>
    <definedName name="UNIDAD14">#REF!</definedName>
    <definedName name="UNIDAD15" localSheetId="0">#REF!</definedName>
    <definedName name="UNIDAD15" localSheetId="2">#REF!</definedName>
    <definedName name="UNIDAD15" localSheetId="3">#REF!</definedName>
    <definedName name="UNIDAD15" localSheetId="1">#REF!</definedName>
    <definedName name="UNIDAD15">#REF!</definedName>
    <definedName name="UNIDAD16" localSheetId="0">#REF!</definedName>
    <definedName name="UNIDAD16" localSheetId="2">#REF!</definedName>
    <definedName name="UNIDAD16" localSheetId="3">#REF!</definedName>
    <definedName name="UNIDAD16" localSheetId="1">#REF!</definedName>
    <definedName name="UNIDAD16">#REF!</definedName>
    <definedName name="UNIDAD17" localSheetId="0">#REF!</definedName>
    <definedName name="UNIDAD17" localSheetId="2">#REF!</definedName>
    <definedName name="UNIDAD17" localSheetId="3">#REF!</definedName>
    <definedName name="UNIDAD17" localSheetId="1">#REF!</definedName>
    <definedName name="UNIDAD17">#REF!</definedName>
    <definedName name="UNIDAD18" localSheetId="0">#REF!</definedName>
    <definedName name="UNIDAD18" localSheetId="2">#REF!</definedName>
    <definedName name="UNIDAD18" localSheetId="3">#REF!</definedName>
    <definedName name="UNIDAD18" localSheetId="1">#REF!</definedName>
    <definedName name="UNIDAD18">#REF!</definedName>
    <definedName name="UNIDAD19" localSheetId="0">#REF!</definedName>
    <definedName name="UNIDAD19" localSheetId="2">#REF!</definedName>
    <definedName name="UNIDAD19" localSheetId="3">#REF!</definedName>
    <definedName name="UNIDAD19" localSheetId="1">#REF!</definedName>
    <definedName name="UNIDAD19">#REF!</definedName>
    <definedName name="UNIDAD20" localSheetId="0">#REF!</definedName>
    <definedName name="UNIDAD20" localSheetId="2">#REF!</definedName>
    <definedName name="UNIDAD20" localSheetId="3">#REF!</definedName>
    <definedName name="UNIDAD20" localSheetId="1">#REF!</definedName>
    <definedName name="UNIDAD20">#REF!</definedName>
    <definedName name="UNIDAD21" localSheetId="0">#REF!</definedName>
    <definedName name="UNIDAD21" localSheetId="2">#REF!</definedName>
    <definedName name="UNIDAD21" localSheetId="3">#REF!</definedName>
    <definedName name="UNIDAD21" localSheetId="1">#REF!</definedName>
    <definedName name="UNIDAD21">#REF!</definedName>
    <definedName name="UNIDAD22" localSheetId="0">#REF!</definedName>
    <definedName name="UNIDAD22" localSheetId="2">#REF!</definedName>
    <definedName name="UNIDAD22" localSheetId="3">#REF!</definedName>
    <definedName name="UNIDAD22" localSheetId="1">#REF!</definedName>
    <definedName name="UNIDAD22">#REF!</definedName>
    <definedName name="UNIDAD23" localSheetId="0">#REF!</definedName>
    <definedName name="UNIDAD23" localSheetId="2">#REF!</definedName>
    <definedName name="UNIDAD23" localSheetId="3">#REF!</definedName>
    <definedName name="UNIDAD23" localSheetId="1">#REF!</definedName>
    <definedName name="UNIDAD23">#REF!</definedName>
    <definedName name="UNIDAD24" localSheetId="0">#REF!</definedName>
    <definedName name="UNIDAD24" localSheetId="2">#REF!</definedName>
    <definedName name="UNIDAD24" localSheetId="3">#REF!</definedName>
    <definedName name="UNIDAD24" localSheetId="1">#REF!</definedName>
    <definedName name="UNIDAD24">#REF!</definedName>
    <definedName name="UNIDAD25" localSheetId="0">#REF!</definedName>
    <definedName name="UNIDAD25" localSheetId="2">#REF!</definedName>
    <definedName name="UNIDAD25" localSheetId="3">#REF!</definedName>
    <definedName name="UNIDAD25" localSheetId="1">#REF!</definedName>
    <definedName name="UNIDAD25">#REF!</definedName>
    <definedName name="UNIDAD26" localSheetId="0">#REF!</definedName>
    <definedName name="UNIDAD26" localSheetId="2">#REF!</definedName>
    <definedName name="UNIDAD26" localSheetId="3">#REF!</definedName>
    <definedName name="UNIDAD26" localSheetId="1">#REF!</definedName>
    <definedName name="UNIDAD26">#REF!</definedName>
    <definedName name="UNIDADI04" localSheetId="0">#REF!</definedName>
    <definedName name="UNIDADI04" localSheetId="2">#REF!</definedName>
    <definedName name="UNIDADI04" localSheetId="3">#REF!</definedName>
    <definedName name="UNIDADI04" localSheetId="1">#REF!</definedName>
    <definedName name="UNIDADI04">#REF!</definedName>
    <definedName name="UNIDADI05" localSheetId="0">#REF!</definedName>
    <definedName name="UNIDADI05" localSheetId="2">#REF!</definedName>
    <definedName name="UNIDADI05" localSheetId="3">#REF!</definedName>
    <definedName name="UNIDADI05" localSheetId="1">#REF!</definedName>
    <definedName name="UNIDADI05">#REF!</definedName>
    <definedName name="VHBJNMKLÑ" localSheetId="3">#REF!</definedName>
    <definedName name="VHBJNMKLÑ">#REF!</definedName>
    <definedName name="WARQUE" localSheetId="2">#REF!</definedName>
    <definedName name="WARQUE" localSheetId="3">#REF!</definedName>
    <definedName name="WARQUE">#REF!</definedName>
    <definedName name="yoel" localSheetId="3">#REF!</definedName>
    <definedName name="yoel">#REF!</definedName>
    <definedName name="ZSXDCFVGBH" localSheetId="3">#REF!</definedName>
    <definedName name="ZSXDCFVGBH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3" l="1"/>
  <c r="K7" i="2" l="1"/>
  <c r="H12" i="5" l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10" i="5"/>
  <c r="H11" i="5" s="1"/>
  <c r="H71" i="5"/>
  <c r="E72" i="5"/>
  <c r="H10" i="3"/>
  <c r="H11" i="3" s="1"/>
  <c r="H12" i="3" s="1"/>
  <c r="E73" i="3"/>
  <c r="L12" i="3"/>
  <c r="L7" i="3"/>
  <c r="M6" i="3"/>
  <c r="H10" i="4" l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M7" i="4"/>
  <c r="M6" i="4"/>
  <c r="H13" i="3" l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l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10" i="2"/>
  <c r="H11" i="2" s="1"/>
  <c r="H12" i="2" s="1"/>
  <c r="H13" i="2" s="1"/>
  <c r="H14" i="2" s="1"/>
  <c r="H15" i="2" s="1"/>
  <c r="H16" i="2" s="1"/>
  <c r="H17" i="2" s="1"/>
  <c r="F44" i="5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E71" i="4"/>
  <c r="F43" i="4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18" i="2" l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E74" i="2"/>
  <c r="F46" i="2"/>
  <c r="H33" i="2" l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</calcChain>
</file>

<file path=xl/sharedStrings.xml><?xml version="1.0" encoding="utf-8"?>
<sst xmlns="http://schemas.openxmlformats.org/spreadsheetml/2006/main" count="237" uniqueCount="61">
  <si>
    <t>FECHA</t>
  </si>
  <si>
    <t>PROVEEDOR</t>
  </si>
  <si>
    <t>CANTIDAD</t>
  </si>
  <si>
    <t>ENTRADA</t>
  </si>
  <si>
    <t>CANTIDAD2</t>
  </si>
  <si>
    <t>EQUIPO</t>
  </si>
  <si>
    <t>SALIDA</t>
  </si>
  <si>
    <t>SOLICITANTE</t>
  </si>
  <si>
    <t>N° NOTA DE ENTREGA</t>
  </si>
  <si>
    <t>EXISTENCIA</t>
  </si>
  <si>
    <t>Fecha: 07/2026</t>
  </si>
  <si>
    <t>Revisión: 0</t>
  </si>
  <si>
    <t>Pagina: 1 de 1</t>
  </si>
  <si>
    <t>RELACIÓN DE CONSUMO DE LUBRICANTE</t>
  </si>
  <si>
    <t>CAM-FR-AD-010</t>
  </si>
  <si>
    <t>ENVISERCA</t>
  </si>
  <si>
    <t>VP</t>
  </si>
  <si>
    <t>N-IRT-005</t>
  </si>
  <si>
    <t>PLANTA</t>
  </si>
  <si>
    <t>REDUCTORES</t>
  </si>
  <si>
    <t>N-IRT-006</t>
  </si>
  <si>
    <t>OBRA</t>
  </si>
  <si>
    <t>MAQUINARIAS</t>
  </si>
  <si>
    <t>N-IRT-007</t>
  </si>
  <si>
    <t>TALLER</t>
  </si>
  <si>
    <t>TAMPO PS-150C</t>
  </si>
  <si>
    <t>FINNISH PF-172</t>
  </si>
  <si>
    <t>CARAGADOR 928G</t>
  </si>
  <si>
    <t>VP-1-001</t>
  </si>
  <si>
    <t>TP 11-002</t>
  </si>
  <si>
    <t>RETRO 416</t>
  </si>
  <si>
    <t>RETRO 420</t>
  </si>
  <si>
    <t>SC 13-001</t>
  </si>
  <si>
    <t>VP 4-001</t>
  </si>
  <si>
    <t>VP 3-001</t>
  </si>
  <si>
    <t>CARAGADOR 966</t>
  </si>
  <si>
    <t>RETRO 420D</t>
  </si>
  <si>
    <t>VL 2-002</t>
  </si>
  <si>
    <t>CARGADOR 928G</t>
  </si>
  <si>
    <t>CAMIONETA CHACON</t>
  </si>
  <si>
    <t>VP 7-001</t>
  </si>
  <si>
    <t>VC 8-001</t>
  </si>
  <si>
    <t>ENTREGADO A ALBERTO PARA OBRA</t>
  </si>
  <si>
    <t>ENTREGADOS ALBERTO OBRA</t>
  </si>
  <si>
    <t>CARGADOR  928G</t>
  </si>
  <si>
    <t>CARGO 815 TRANSPORTE TP 11-002</t>
  </si>
  <si>
    <t>ENTREGADOS ALBERTO</t>
  </si>
  <si>
    <t>VL 2-001</t>
  </si>
  <si>
    <t>LOUISVILLE</t>
  </si>
  <si>
    <t>MITSUBISHI VOLTEO</t>
  </si>
  <si>
    <t>CARGO 815 PLATAFORMA</t>
  </si>
  <si>
    <t>JUMBO</t>
  </si>
  <si>
    <t>CARGO 815 BACHEO</t>
  </si>
  <si>
    <t>VOLTEO MITSUBISHI</t>
  </si>
  <si>
    <t>MAQUINA DE SOLDAR</t>
  </si>
  <si>
    <t>SUPER DUTY 001</t>
  </si>
  <si>
    <t>VOLTEI INTERNACIONAL</t>
  </si>
  <si>
    <t>CARGO 1721</t>
  </si>
  <si>
    <t>CARGO 815 BACHEO ROJO</t>
  </si>
  <si>
    <t>MAQUINAS</t>
  </si>
  <si>
    <t>CARGO 815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</si>
</sst>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3">
    <font>
      <sz val="1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9"/>
      <name val="Calibri"/>
    </font>
    <font>
      <sz val="9"/>
      <name val="Calibri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6" fillId="0" borderId="1" xfId="0" applyFont="1" applyBorder="1"/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43" fontId="3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43" fontId="6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</dxfs>
  <tableStyles count="9">
    <tableStyle name="ACEITE 15W40 INCA-style" pivot="0" count="4">
      <tableStyleElement type="headerRow" dxfId="79"/>
      <tableStyleElement type="totalRow" dxfId="78"/>
      <tableStyleElement type="firstRowStripe" dxfId="77"/>
      <tableStyleElement type="secondRowStripe" dxfId="76"/>
    </tableStyle>
    <tableStyle name="ACEITE 15W40 ZENITH-style" pivot="0" count="4">
      <tableStyleElement type="headerRow" dxfId="75"/>
      <tableStyleElement type="totalRow" dxfId="74"/>
      <tableStyleElement type="firstRowStripe" dxfId="73"/>
      <tableStyleElement type="secondRowStripe" dxfId="72"/>
    </tableStyle>
    <tableStyle name="ACEITE 15W40 LMV-style" pivot="0" count="4">
      <tableStyleElement type="headerRow" dxfId="71"/>
      <tableStyleElement type="totalRow" dxfId="70"/>
      <tableStyleElement type="firstRowStripe" dxfId="69"/>
      <tableStyleElement type="secondRowStripe" dxfId="68"/>
    </tableStyle>
    <tableStyle name="VALVULINA SAE 140 ZENITH (2)-style" pivot="0" count="4">
      <tableStyleElement type="headerRow" dxfId="67"/>
      <tableStyleElement type="totalRow" dxfId="66"/>
      <tableStyleElement type="firstRowStripe" dxfId="65"/>
      <tableStyleElement type="secondRowStripe" dxfId="64"/>
    </tableStyle>
    <tableStyle name="VALVULINA 85W140 ZENITH-style" pivot="0" count="4">
      <tableStyleElement type="headerRow" dxfId="63"/>
      <tableStyleElement type="totalRow" dxfId="62"/>
      <tableStyleElement type="firstRowStripe" dxfId="61"/>
      <tableStyleElement type="secondRowStripe" dxfId="60"/>
    </tableStyle>
    <tableStyle name="aceite 50 lubricon -style" pivot="0" count="4">
      <tableStyleElement type="headerRow" dxfId="59"/>
      <tableStyleElement type="totalRow" dxfId="58"/>
      <tableStyleElement type="firstRowStripe" dxfId="57"/>
      <tableStyleElement type="secondRowStripe" dxfId="56"/>
    </tableStyle>
    <tableStyle name="ACEITE SAE 50 LMV-style" pivot="0" count="4">
      <tableStyleElement type="headerRow" dxfId="55"/>
      <tableStyleElement type="totalRow" dxfId="54"/>
      <tableStyleElement type="firstRowStripe" dxfId="53"/>
      <tableStyleElement type="secondRowStripe" dxfId="52"/>
    </tableStyle>
    <tableStyle name="ACEITE SAE 50 INCA-style" pivot="0" count="4">
      <tableStyleElement type="headerRow" dxfId="51"/>
      <tableStyleElement type="totalRow" dxfId="50"/>
      <tableStyleElement type="firstRowStripe" dxfId="49"/>
      <tableStyleElement type="secondRowStripe" dxfId="48"/>
    </tableStyle>
    <tableStyle name="ACEITE SAE 50 ZENITH-style" pivot="0" count="4">
      <tableStyleElement type="headerRow" dxfId="47"/>
      <tableStyleElement type="total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0</xdr:row>
      <xdr:rowOff>215900</xdr:rowOff>
    </xdr:from>
    <xdr:to>
      <xdr:col>1</xdr:col>
      <xdr:colOff>571500</xdr:colOff>
      <xdr:row>2</xdr:row>
      <xdr:rowOff>203200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D42B7093-B839-42C7-B463-92FCBF15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15900"/>
          <a:ext cx="10604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0</xdr:row>
      <xdr:rowOff>215900</xdr:rowOff>
    </xdr:from>
    <xdr:to>
      <xdr:col>1</xdr:col>
      <xdr:colOff>571500</xdr:colOff>
      <xdr:row>2</xdr:row>
      <xdr:rowOff>203200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2B7093-B839-42C7-B463-92FCBF15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15900"/>
          <a:ext cx="1031875" cy="58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0</xdr:row>
      <xdr:rowOff>215900</xdr:rowOff>
    </xdr:from>
    <xdr:to>
      <xdr:col>1</xdr:col>
      <xdr:colOff>571500</xdr:colOff>
      <xdr:row>2</xdr:row>
      <xdr:rowOff>203200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2B7093-B839-42C7-B463-92FCBF15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15900"/>
          <a:ext cx="1031875" cy="58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0</xdr:row>
      <xdr:rowOff>215900</xdr:rowOff>
    </xdr:from>
    <xdr:to>
      <xdr:col>1</xdr:col>
      <xdr:colOff>571500</xdr:colOff>
      <xdr:row>2</xdr:row>
      <xdr:rowOff>203200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2B7093-B839-42C7-B463-92FCBF15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15900"/>
          <a:ext cx="1031875" cy="58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Table_2" displayName="Table_2" ref="A9:H74" totalsRowCount="1" headerRowDxfId="43" headerRowBorderDxfId="42">
  <tableColumns count="8">
    <tableColumn id="1" name="FECHA" totalsRowDxfId="41"/>
    <tableColumn id="7" name="PROVEEDOR" dataDxfId="40" totalsRowDxfId="39"/>
    <tableColumn id="2" name="CANTIDAD" totalsRowDxfId="38"/>
    <tableColumn id="3" name="SOLICITANTE" totalsRowDxfId="37"/>
    <tableColumn id="4" name="EQUIPO" totalsRowFunction="custom" totalsRowDxfId="36">
      <totalsRowFormula>SUBTOTAL(109,'15W-40'!$E$10:$E$73)</totalsRowFormula>
    </tableColumn>
    <tableColumn id="5" name="CANTIDAD2" totalsRowDxfId="35"/>
    <tableColumn id="6" name="N° NOTA DE ENTREGA" totalsRowDxfId="34"/>
    <tableColumn id="8" name="EXISTENCIA" dataDxfId="33">
      <calculatedColumnFormula>Table_2[[#This Row],[CANTIDAD]]-Table_2[[#This Row],[CANTIDAD2]]</calculatedColumnFormula>
    </tableColumn>
  </tableColumns>
  <tableStyleInfo name="ACEITE 15W40 ZENITH-style" showFirstColumn="1" showLastColumn="1" showRowStripes="1" showColumnStripes="0"/>
</table>
</file>

<file path=xl/tables/table2.xml><?xml version="1.0" encoding="utf-8"?>
<table xmlns="http://schemas.openxmlformats.org/spreadsheetml/2006/main" id="1" name="Table_22" displayName="Table_22" ref="A9:H73" totalsRowCount="1" headerRowDxfId="32" headerRowBorderDxfId="31">
  <tableColumns count="8">
    <tableColumn id="1" name="FECHA" totalsRowDxfId="30"/>
    <tableColumn id="7" name="PROVEEDOR" dataDxfId="29" totalsRowDxfId="28"/>
    <tableColumn id="2" name="CANTIDAD" totalsRowDxfId="27"/>
    <tableColumn id="3" name="SOLICITANTE" totalsRowDxfId="26"/>
    <tableColumn id="4" name="EQUIPO" totalsRowFunction="custom" totalsRowDxfId="25">
      <totalsRowFormula>SUBTOTAL(109,'SAE 50'!$E$10:$E$72)</totalsRowFormula>
    </tableColumn>
    <tableColumn id="5" name="CANTIDAD2" totalsRowDxfId="24"/>
    <tableColumn id="6" name="N° NOTA DE ENTREGA" totalsRowDxfId="23"/>
    <tableColumn id="8" name="EXISTENCIA" dataDxfId="22">
      <calculatedColumnFormula>Table_22[[#This Row],[CANTIDAD]]-Table_22[[#This Row],[CANTIDAD2]]</calculatedColumnFormula>
    </tableColumn>
  </tableColumns>
  <tableStyleInfo name="ACEITE 15W40 ZENITH-style" showFirstColumn="1" showLastColumn="1" showRowStripes="1" showColumnStripes="0"/>
</table>
</file>

<file path=xl/tables/table3.xml><?xml version="1.0" encoding="utf-8"?>
<table xmlns="http://schemas.openxmlformats.org/spreadsheetml/2006/main" id="3" name="Table_224" displayName="Table_224" ref="A9:H71" totalsRowCount="1" headerRowDxfId="21" headerRowBorderDxfId="20">
  <tableColumns count="8">
    <tableColumn id="1" name="FECHA" totalsRowDxfId="19"/>
    <tableColumn id="7" name="PROVEEDOR" dataDxfId="18" totalsRowDxfId="17"/>
    <tableColumn id="2" name="CANTIDAD" totalsRowDxfId="16"/>
    <tableColumn id="3" name="SOLICITANTE" totalsRowDxfId="15"/>
    <tableColumn id="4" name="EQUIPO" totalsRowFunction="custom" totalsRowDxfId="14">
      <totalsRowFormula>SUBTOTAL(109,'GEAR 85W-140'!$E$10:$E$70)</totalsRowFormula>
    </tableColumn>
    <tableColumn id="5" name="CANTIDAD2" totalsRowDxfId="13"/>
    <tableColumn id="6" name="N° NOTA DE ENTREGA" totalsRowDxfId="12"/>
    <tableColumn id="8" name="EXISTENCIA" dataDxfId="11">
      <calculatedColumnFormula>Table_224[[#This Row],[CANTIDAD]]-Table_224[[#This Row],[CANTIDAD2]]</calculatedColumnFormula>
    </tableColumn>
  </tableColumns>
  <tableStyleInfo name="ACEITE 15W40 ZENITH-style" showFirstColumn="1" showLastColumn="1" showRowStripes="1" showColumnStripes="0"/>
</table>
</file>

<file path=xl/tables/table4.xml><?xml version="1.0" encoding="utf-8"?>
<table xmlns="http://schemas.openxmlformats.org/spreadsheetml/2006/main" id="4" name="Table_2245" displayName="Table_2245" ref="A9:H72" totalsRowCount="1" headerRowDxfId="10" headerRowBorderDxfId="9">
  <tableColumns count="8">
    <tableColumn id="1" name="FECHA" totalsRowDxfId="8"/>
    <tableColumn id="7" name="PROVEEDOR" dataDxfId="7" totalsRowDxfId="6"/>
    <tableColumn id="2" name="CANTIDAD" totalsRowDxfId="5"/>
    <tableColumn id="3" name="SOLICITANTE" totalsRowDxfId="4"/>
    <tableColumn id="4" name="EQUIPO" totalsRowFunction="custom" totalsRowDxfId="3">
      <totalsRowFormula>SUBTOTAL(109,'GRASA LITHIUM 15 KG'!$E$10:$E$71)</totalsRowFormula>
    </tableColumn>
    <tableColumn id="5" name="CANTIDAD2" totalsRowDxfId="2"/>
    <tableColumn id="6" name="N° NOTA DE ENTREGA" totalsRowDxfId="1"/>
    <tableColumn id="8" name="EXISTENCIA" dataDxfId="0">
      <calculatedColumnFormula>Table_2245[[#This Row],[CANTIDAD]]-Table_2245[[#This Row],[CANTIDAD2]]</calculatedColumnFormula>
    </tableColumn>
  </tableColumns>
  <tableStyleInfo name="ACEITE 15W40 ZENITH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108"/>
  <sheetViews>
    <sheetView topLeftCell="A22" workbookViewId="0">
      <selection activeCell="F38" sqref="F38"/>
    </sheetView>
  </sheetViews>
  <sheetFormatPr baseColWidth="10" defaultColWidth="12.54296875" defaultRowHeight="15" customHeight="1"/>
  <cols>
    <col min="1" max="1" width="10.453125" customWidth="1"/>
    <col min="2" max="2" width="11.1796875" bestFit="1" customWidth="1"/>
    <col min="3" max="3" width="16.7265625" customWidth="1"/>
    <col min="4" max="4" width="13.453125" customWidth="1"/>
    <col min="5" max="5" width="31.81640625" customWidth="1"/>
    <col min="6" max="6" width="14.54296875" customWidth="1"/>
    <col min="7" max="8" width="19.1796875" bestFit="1" customWidth="1"/>
    <col min="9" max="12" width="8" customWidth="1"/>
  </cols>
  <sheetData>
    <row r="1" spans="1:11" ht="26.15" customHeight="1">
      <c r="A1" s="39"/>
      <c r="B1" s="39"/>
      <c r="C1" s="40" t="s">
        <v>13</v>
      </c>
      <c r="D1" s="41"/>
      <c r="E1" s="41"/>
      <c r="F1" s="41"/>
      <c r="G1" s="42"/>
      <c r="H1" s="14" t="s">
        <v>14</v>
      </c>
    </row>
    <row r="2" spans="1:11" ht="21.75" customHeight="1">
      <c r="A2" s="39"/>
      <c r="B2" s="39"/>
      <c r="C2" s="43"/>
      <c r="D2" s="44"/>
      <c r="E2" s="44"/>
      <c r="F2" s="44"/>
      <c r="G2" s="45"/>
      <c r="H2" s="15" t="s">
        <v>10</v>
      </c>
    </row>
    <row r="3" spans="1:11" ht="21.75" customHeight="1">
      <c r="A3" s="39"/>
      <c r="B3" s="39"/>
      <c r="C3" s="43"/>
      <c r="D3" s="44"/>
      <c r="E3" s="44"/>
      <c r="F3" s="44"/>
      <c r="G3" s="45"/>
      <c r="H3" s="15" t="s">
        <v>11</v>
      </c>
    </row>
    <row r="4" spans="1:11" ht="21.75" customHeight="1">
      <c r="A4" s="39"/>
      <c r="B4" s="39"/>
      <c r="C4" s="46"/>
      <c r="D4" s="47"/>
      <c r="E4" s="47"/>
      <c r="F4" s="47"/>
      <c r="G4" s="48"/>
      <c r="H4" s="15" t="s">
        <v>12</v>
      </c>
    </row>
    <row r="5" spans="1:11" ht="21.75" customHeight="1">
      <c r="E5" s="11"/>
      <c r="G5" s="2"/>
      <c r="H5" s="2"/>
    </row>
    <row r="6" spans="1:11" ht="21.75" customHeight="1">
      <c r="E6" s="11"/>
      <c r="G6" s="2"/>
      <c r="H6" s="2"/>
    </row>
    <row r="7" spans="1:11" ht="21.75" customHeight="1">
      <c r="G7" s="2"/>
      <c r="H7" s="2"/>
      <c r="K7">
        <f>5*19</f>
        <v>95</v>
      </c>
    </row>
    <row r="8" spans="1:11" ht="15" customHeight="1">
      <c r="B8" s="37" t="s">
        <v>3</v>
      </c>
      <c r="C8" s="38"/>
      <c r="D8" s="37" t="s">
        <v>6</v>
      </c>
      <c r="E8" s="37"/>
      <c r="F8" s="37"/>
      <c r="G8" s="37"/>
    </row>
    <row r="9" spans="1:11" ht="14.5">
      <c r="A9" s="16" t="s">
        <v>0</v>
      </c>
      <c r="B9" s="7" t="s">
        <v>1</v>
      </c>
      <c r="C9" s="7" t="s">
        <v>2</v>
      </c>
      <c r="D9" s="7" t="s">
        <v>7</v>
      </c>
      <c r="E9" s="7" t="s">
        <v>5</v>
      </c>
      <c r="F9" s="7" t="s">
        <v>4</v>
      </c>
      <c r="G9" s="7" t="s">
        <v>8</v>
      </c>
      <c r="H9" s="7" t="s">
        <v>9</v>
      </c>
    </row>
    <row r="10" spans="1:11" ht="14.5">
      <c r="A10" s="3">
        <v>46231</v>
      </c>
      <c r="B10" s="9" t="s">
        <v>15</v>
      </c>
      <c r="C10" s="1">
        <v>228</v>
      </c>
      <c r="D10" s="4" t="s">
        <v>21</v>
      </c>
      <c r="E10" s="5" t="s">
        <v>22</v>
      </c>
      <c r="F10" s="5">
        <v>36</v>
      </c>
      <c r="G10" s="1" t="s">
        <v>17</v>
      </c>
      <c r="H10" s="5">
        <f>Table_2[[#This Row],[CANTIDAD]]-Table_2[[#This Row],[CANTIDAD2]]</f>
        <v>192</v>
      </c>
    </row>
    <row r="11" spans="1:11" ht="14.5">
      <c r="A11" s="3">
        <v>46232</v>
      </c>
      <c r="B11" s="3"/>
      <c r="C11" s="17"/>
      <c r="D11" s="8" t="s">
        <v>16</v>
      </c>
      <c r="E11" s="10" t="s">
        <v>22</v>
      </c>
      <c r="F11" s="5">
        <v>54</v>
      </c>
      <c r="G11" s="1" t="s">
        <v>23</v>
      </c>
      <c r="H11" s="5">
        <f>H10-Table_2[[#This Row],[CANTIDAD2]]</f>
        <v>138</v>
      </c>
    </row>
    <row r="12" spans="1:11" ht="14.5">
      <c r="A12" s="3">
        <v>46234</v>
      </c>
      <c r="B12" s="9"/>
      <c r="C12" s="1"/>
      <c r="D12" s="8" t="s">
        <v>24</v>
      </c>
      <c r="E12" s="10" t="s">
        <v>25</v>
      </c>
      <c r="F12" s="5">
        <v>4</v>
      </c>
      <c r="G12" s="1"/>
      <c r="H12" s="5">
        <f>H11-Table_2[[#This Row],[CANTIDAD2]]</f>
        <v>134</v>
      </c>
      <c r="J12" s="12"/>
    </row>
    <row r="13" spans="1:11" ht="14.5">
      <c r="A13" s="3">
        <v>46234</v>
      </c>
      <c r="B13" s="3"/>
      <c r="C13" s="1"/>
      <c r="D13" s="8" t="s">
        <v>24</v>
      </c>
      <c r="E13" s="10" t="s">
        <v>26</v>
      </c>
      <c r="F13" s="5">
        <v>1.5</v>
      </c>
      <c r="G13" s="1"/>
      <c r="H13" s="5">
        <f>H12-Table_2[[#This Row],[CANTIDAD2]]</f>
        <v>132.5</v>
      </c>
      <c r="J13" s="13"/>
    </row>
    <row r="14" spans="1:11" ht="14.5">
      <c r="A14" s="3">
        <v>46237</v>
      </c>
      <c r="B14" s="3"/>
      <c r="C14" s="17"/>
      <c r="D14" s="4" t="s">
        <v>21</v>
      </c>
      <c r="E14" s="5" t="s">
        <v>22</v>
      </c>
      <c r="F14" s="5">
        <v>19</v>
      </c>
      <c r="G14" s="1"/>
      <c r="H14" s="5">
        <f>H13-Table_2[[#This Row],[CANTIDAD2]]</f>
        <v>113.5</v>
      </c>
    </row>
    <row r="15" spans="1:11" ht="14.5">
      <c r="A15" s="3">
        <v>46237</v>
      </c>
      <c r="B15" s="3"/>
      <c r="C15" s="18"/>
      <c r="D15" s="4" t="s">
        <v>24</v>
      </c>
      <c r="E15" s="5" t="s">
        <v>28</v>
      </c>
      <c r="F15" s="5">
        <v>2</v>
      </c>
      <c r="G15" s="1"/>
      <c r="H15" s="5">
        <f>H14-Table_2[[#This Row],[CANTIDAD2]]</f>
        <v>111.5</v>
      </c>
      <c r="J15" s="11"/>
    </row>
    <row r="16" spans="1:11" ht="14.5">
      <c r="A16" s="3">
        <v>46237</v>
      </c>
      <c r="B16" s="3"/>
      <c r="C16" s="17"/>
      <c r="D16" s="4" t="s">
        <v>24</v>
      </c>
      <c r="E16" s="5" t="s">
        <v>29</v>
      </c>
      <c r="F16" s="5">
        <v>1.5</v>
      </c>
      <c r="G16" s="1"/>
      <c r="H16" s="5">
        <f>H15-Table_2[[#This Row],[CANTIDAD2]]</f>
        <v>110</v>
      </c>
    </row>
    <row r="17" spans="1:8" ht="15" customHeight="1">
      <c r="A17" s="3">
        <v>46251</v>
      </c>
      <c r="B17" s="3"/>
      <c r="C17" s="17"/>
      <c r="D17" s="8" t="s">
        <v>16</v>
      </c>
      <c r="E17" s="10" t="s">
        <v>22</v>
      </c>
      <c r="F17" s="5">
        <v>57</v>
      </c>
      <c r="G17" s="1"/>
      <c r="H17" s="5">
        <f>H16-Table_2[[#This Row],[CANTIDAD2]]</f>
        <v>53</v>
      </c>
    </row>
    <row r="18" spans="1:8" ht="14.5">
      <c r="A18" s="3">
        <v>46254</v>
      </c>
      <c r="B18" s="9" t="s">
        <v>15</v>
      </c>
      <c r="C18" s="8">
        <v>95</v>
      </c>
      <c r="D18" s="4"/>
      <c r="E18" s="5"/>
      <c r="F18" s="5"/>
      <c r="G18" s="1"/>
      <c r="H18" s="5">
        <f>H17+Table_2[[#This Row],[CANTIDAD]]</f>
        <v>148</v>
      </c>
    </row>
    <row r="19" spans="1:8" ht="15" customHeight="1">
      <c r="A19" s="3">
        <v>46254</v>
      </c>
      <c r="B19" s="3"/>
      <c r="C19" s="1"/>
      <c r="D19" s="8" t="s">
        <v>24</v>
      </c>
      <c r="E19" s="30" t="s">
        <v>41</v>
      </c>
      <c r="F19" s="5">
        <v>7</v>
      </c>
      <c r="G19" s="1"/>
      <c r="H19" s="5">
        <f>H18-Table_2[[#This Row],[CANTIDAD2]]</f>
        <v>141</v>
      </c>
    </row>
    <row r="20" spans="1:8" ht="14.5">
      <c r="A20" s="3">
        <v>46258</v>
      </c>
      <c r="B20" s="3"/>
      <c r="C20" s="1"/>
      <c r="D20" s="8" t="s">
        <v>21</v>
      </c>
      <c r="E20" s="10" t="s">
        <v>43</v>
      </c>
      <c r="F20" s="5">
        <v>19</v>
      </c>
      <c r="G20" s="1"/>
      <c r="H20" s="5">
        <f>H19-Table_2[[#This Row],[CANTIDAD2]]</f>
        <v>122</v>
      </c>
    </row>
    <row r="21" spans="1:8" ht="14.5">
      <c r="A21" s="3">
        <v>46263</v>
      </c>
      <c r="B21" s="3"/>
      <c r="C21" s="17"/>
      <c r="D21" s="4" t="s">
        <v>16</v>
      </c>
      <c r="E21" s="5" t="s">
        <v>46</v>
      </c>
      <c r="F21" s="5">
        <v>19</v>
      </c>
      <c r="G21" s="1"/>
      <c r="H21" s="5">
        <f>H20-Table_2[[#This Row],[CANTIDAD2]]</f>
        <v>103</v>
      </c>
    </row>
    <row r="22" spans="1:8" ht="14.5">
      <c r="A22" s="3">
        <v>46263</v>
      </c>
      <c r="B22" s="3"/>
      <c r="C22" s="17"/>
      <c r="D22" s="4" t="s">
        <v>24</v>
      </c>
      <c r="E22" s="5" t="s">
        <v>38</v>
      </c>
      <c r="F22" s="5">
        <v>20</v>
      </c>
      <c r="G22" s="1"/>
      <c r="H22" s="5">
        <f>H21-Table_2[[#This Row],[CANTIDAD2]]</f>
        <v>83</v>
      </c>
    </row>
    <row r="23" spans="1:8" ht="14.5">
      <c r="A23" s="3">
        <v>46263</v>
      </c>
      <c r="B23" s="3"/>
      <c r="C23" s="17"/>
      <c r="D23" s="4" t="s">
        <v>24</v>
      </c>
      <c r="E23" s="5" t="s">
        <v>29</v>
      </c>
      <c r="F23" s="5">
        <v>3</v>
      </c>
      <c r="G23" s="1"/>
      <c r="H23" s="5">
        <f>H22-Table_2[[#This Row],[CANTIDAD2]]</f>
        <v>80</v>
      </c>
    </row>
    <row r="24" spans="1:8" ht="14.5">
      <c r="A24" s="3">
        <v>46268</v>
      </c>
      <c r="B24" s="3"/>
      <c r="C24" s="17"/>
      <c r="D24" s="4" t="s">
        <v>24</v>
      </c>
      <c r="E24" s="5" t="s">
        <v>47</v>
      </c>
      <c r="F24" s="5">
        <v>19</v>
      </c>
      <c r="G24" s="1"/>
      <c r="H24" s="5">
        <f>H23-Table_2[[#This Row],[CANTIDAD2]]</f>
        <v>61</v>
      </c>
    </row>
    <row r="25" spans="1:8" ht="14.5">
      <c r="A25" s="3">
        <v>46269</v>
      </c>
      <c r="B25" s="3"/>
      <c r="C25" s="17"/>
      <c r="D25" s="4" t="s">
        <v>24</v>
      </c>
      <c r="E25" s="5" t="s">
        <v>36</v>
      </c>
      <c r="F25" s="5">
        <v>2</v>
      </c>
      <c r="G25" s="1"/>
      <c r="H25" s="5">
        <f>H24-Table_2[[#This Row],[CANTIDAD2]]</f>
        <v>59</v>
      </c>
    </row>
    <row r="26" spans="1:8" ht="15.75" customHeight="1">
      <c r="A26" s="3">
        <v>46273</v>
      </c>
      <c r="B26" s="3"/>
      <c r="C26" s="17"/>
      <c r="D26" s="4" t="s">
        <v>24</v>
      </c>
      <c r="E26" s="36">
        <v>21</v>
      </c>
      <c r="F26" s="5">
        <v>1</v>
      </c>
      <c r="G26" s="1"/>
      <c r="H26" s="5">
        <f>H25-Table_2[[#This Row],[CANTIDAD2]]</f>
        <v>58</v>
      </c>
    </row>
    <row r="27" spans="1:8" ht="15.75" customHeight="1">
      <c r="A27" s="3">
        <v>46279</v>
      </c>
      <c r="B27" s="3"/>
      <c r="C27" s="17"/>
      <c r="D27" s="4" t="s">
        <v>24</v>
      </c>
      <c r="E27" s="5" t="s">
        <v>50</v>
      </c>
      <c r="F27" s="5">
        <v>3</v>
      </c>
      <c r="G27" s="1"/>
      <c r="H27" s="5">
        <f>H26-Table_2[[#This Row],[CANTIDAD2]]</f>
        <v>55</v>
      </c>
    </row>
    <row r="28" spans="1:8" ht="15.75" customHeight="1">
      <c r="A28" s="3">
        <v>46280</v>
      </c>
      <c r="B28" s="3"/>
      <c r="C28" s="17"/>
      <c r="D28" s="4" t="s">
        <v>16</v>
      </c>
      <c r="E28" s="5" t="s">
        <v>51</v>
      </c>
      <c r="F28" s="5">
        <v>19</v>
      </c>
      <c r="G28" s="1"/>
      <c r="H28" s="5">
        <f>H27-Table_2[[#This Row],[CANTIDAD2]]</f>
        <v>36</v>
      </c>
    </row>
    <row r="29" spans="1:8" ht="15.75" customHeight="1">
      <c r="A29" s="3">
        <v>46281</v>
      </c>
      <c r="B29" s="3"/>
      <c r="C29" s="17"/>
      <c r="D29" s="4" t="s">
        <v>24</v>
      </c>
      <c r="E29" s="5" t="s">
        <v>52</v>
      </c>
      <c r="F29" s="5">
        <v>19</v>
      </c>
      <c r="G29" s="1"/>
      <c r="H29" s="5">
        <f>H28-Table_2[[#This Row],[CANTIDAD2]]</f>
        <v>17</v>
      </c>
    </row>
    <row r="30" spans="1:8" ht="15.75" customHeight="1">
      <c r="A30" s="3">
        <v>46283</v>
      </c>
      <c r="B30" s="9" t="s">
        <v>15</v>
      </c>
      <c r="C30" s="17">
        <v>114</v>
      </c>
      <c r="D30" s="4"/>
      <c r="E30" s="5"/>
      <c r="F30" s="5"/>
      <c r="G30" s="1"/>
      <c r="H30" s="5">
        <f>H29+Table_2[[#This Row],[CANTIDAD]]</f>
        <v>131</v>
      </c>
    </row>
    <row r="31" spans="1:8" ht="15.75" customHeight="1">
      <c r="A31" s="3">
        <v>46284</v>
      </c>
      <c r="B31" s="3"/>
      <c r="C31" s="17"/>
      <c r="D31" s="4" t="s">
        <v>24</v>
      </c>
      <c r="E31" s="35">
        <v>31</v>
      </c>
      <c r="F31" s="5">
        <v>2</v>
      </c>
      <c r="G31" s="1"/>
      <c r="H31" s="5">
        <f>H30-Table_2[[#This Row],[CANTIDAD2]]</f>
        <v>129</v>
      </c>
    </row>
    <row r="32" spans="1:8" ht="15.75" customHeight="1">
      <c r="A32" s="3">
        <v>46286</v>
      </c>
      <c r="B32" s="3"/>
      <c r="C32" s="17"/>
      <c r="D32" s="6" t="s">
        <v>21</v>
      </c>
      <c r="E32" s="5" t="s">
        <v>22</v>
      </c>
      <c r="F32" s="5">
        <v>38</v>
      </c>
      <c r="G32" s="1"/>
      <c r="H32" s="5">
        <f>H31-Table_2[[#This Row],[CANTIDAD2]]</f>
        <v>91</v>
      </c>
    </row>
    <row r="33" spans="1:8" ht="15.75" customHeight="1">
      <c r="A33" s="3">
        <v>46286</v>
      </c>
      <c r="B33" s="3"/>
      <c r="C33" s="17"/>
      <c r="D33" s="4" t="s">
        <v>16</v>
      </c>
      <c r="E33" s="5" t="s">
        <v>22</v>
      </c>
      <c r="F33" s="5">
        <v>19</v>
      </c>
      <c r="G33" s="1"/>
      <c r="H33" s="5">
        <f>H32-Table_2[[#This Row],[CANTIDAD2]]</f>
        <v>72</v>
      </c>
    </row>
    <row r="34" spans="1:8" ht="15.75" customHeight="1">
      <c r="A34" s="3">
        <v>46291</v>
      </c>
      <c r="B34" s="3"/>
      <c r="C34" s="17"/>
      <c r="D34" s="4" t="s">
        <v>24</v>
      </c>
      <c r="E34" s="5" t="s">
        <v>57</v>
      </c>
      <c r="F34" s="5">
        <v>10</v>
      </c>
      <c r="G34" s="1"/>
      <c r="H34" s="5">
        <f>H33-Table_2[[#This Row],[CANTIDAD2]]</f>
        <v>62</v>
      </c>
    </row>
    <row r="35" spans="1:8" ht="15.75" customHeight="1">
      <c r="A35" s="3">
        <v>46294</v>
      </c>
      <c r="B35" s="3"/>
      <c r="C35" s="17"/>
      <c r="D35" s="4" t="s">
        <v>21</v>
      </c>
      <c r="E35" s="5" t="s">
        <v>36</v>
      </c>
      <c r="F35" s="5">
        <v>2</v>
      </c>
      <c r="G35" s="1"/>
      <c r="H35" s="5">
        <f>H34-Table_2[[#This Row],[CANTIDAD2]]</f>
        <v>60</v>
      </c>
    </row>
    <row r="36" spans="1:8" ht="15.75" customHeight="1">
      <c r="A36" s="3">
        <v>46295</v>
      </c>
      <c r="B36" s="3"/>
      <c r="C36" s="17"/>
      <c r="D36" s="4" t="s">
        <v>24</v>
      </c>
      <c r="E36" s="5" t="s">
        <v>38</v>
      </c>
      <c r="F36" s="5">
        <v>5</v>
      </c>
      <c r="G36" s="1"/>
      <c r="H36" s="5">
        <f>H35-Table_2[[#This Row],[CANTIDAD2]]</f>
        <v>55</v>
      </c>
    </row>
    <row r="37" spans="1:8" ht="15.75" customHeight="1">
      <c r="A37" s="3">
        <v>46296</v>
      </c>
      <c r="B37" s="3"/>
      <c r="C37" s="19"/>
      <c r="D37" s="4" t="s">
        <v>21</v>
      </c>
      <c r="E37" s="5" t="s">
        <v>60</v>
      </c>
      <c r="F37" s="5">
        <v>2</v>
      </c>
      <c r="G37" s="1"/>
      <c r="H37" s="5">
        <f>H36-Table_2[[#This Row],[CANTIDAD2]]</f>
        <v>53</v>
      </c>
    </row>
    <row r="38" spans="1:8" ht="15.75" customHeight="1">
      <c r="A38" s="3"/>
      <c r="B38" s="3"/>
      <c r="C38" s="17"/>
      <c r="D38" s="4"/>
      <c r="E38" s="5"/>
      <c r="F38" s="5"/>
      <c r="G38" s="1"/>
      <c r="H38" s="5">
        <f>H37-Table_2[[#This Row],[CANTIDAD2]]</f>
        <v>53</v>
      </c>
    </row>
    <row r="39" spans="1:8" ht="15.75" customHeight="1">
      <c r="A39" s="3"/>
      <c r="B39" s="3"/>
      <c r="C39" s="17"/>
      <c r="D39" s="4"/>
      <c r="E39" s="5"/>
      <c r="F39" s="5"/>
      <c r="G39" s="1"/>
      <c r="H39" s="5">
        <f>H38-Table_2[[#This Row],[CANTIDAD2]]</f>
        <v>53</v>
      </c>
    </row>
    <row r="40" spans="1:8" ht="15.75" customHeight="1">
      <c r="A40" s="3"/>
      <c r="B40" s="3"/>
      <c r="C40" s="17"/>
      <c r="D40" s="4"/>
      <c r="E40" s="5"/>
      <c r="F40" s="5"/>
      <c r="G40" s="1"/>
      <c r="H40" s="5">
        <f>H39-Table_2[[#This Row],[CANTIDAD2]]</f>
        <v>53</v>
      </c>
    </row>
    <row r="41" spans="1:8" ht="15.75" customHeight="1">
      <c r="A41" s="3"/>
      <c r="B41" s="3"/>
      <c r="C41" s="4"/>
      <c r="D41" s="4"/>
      <c r="E41" s="5"/>
      <c r="F41" s="5"/>
      <c r="G41" s="1"/>
      <c r="H41" s="5">
        <f>H40-Table_2[[#This Row],[CANTIDAD2]]</f>
        <v>53</v>
      </c>
    </row>
    <row r="42" spans="1:8" ht="15.75" customHeight="1">
      <c r="A42" s="3"/>
      <c r="B42" s="3"/>
      <c r="C42" s="17"/>
      <c r="D42" s="4"/>
      <c r="E42" s="5"/>
      <c r="F42" s="5"/>
      <c r="G42" s="1"/>
      <c r="H42" s="5">
        <f>H41-Table_2[[#This Row],[CANTIDAD2]]</f>
        <v>53</v>
      </c>
    </row>
    <row r="43" spans="1:8" ht="15.75" customHeight="1">
      <c r="A43" s="3"/>
      <c r="B43" s="3"/>
      <c r="C43" s="17"/>
      <c r="D43" s="4"/>
      <c r="E43" s="5"/>
      <c r="F43" s="5"/>
      <c r="G43" s="1"/>
      <c r="H43" s="5">
        <f>H42-Table_2[[#This Row],[CANTIDAD2]]</f>
        <v>53</v>
      </c>
    </row>
    <row r="44" spans="1:8" ht="15.75" customHeight="1">
      <c r="A44" s="3"/>
      <c r="B44" s="3"/>
      <c r="C44" s="17"/>
      <c r="D44" s="4"/>
      <c r="E44" s="5"/>
      <c r="F44" s="5"/>
      <c r="G44" s="1"/>
      <c r="H44" s="5">
        <f>H43-Table_2[[#This Row],[CANTIDAD2]]</f>
        <v>53</v>
      </c>
    </row>
    <row r="45" spans="1:8" ht="15.75" customHeight="1">
      <c r="A45" s="3"/>
      <c r="B45" s="3"/>
      <c r="C45" s="1"/>
      <c r="D45" s="4"/>
      <c r="E45" s="5"/>
      <c r="F45" s="5"/>
      <c r="G45" s="1"/>
      <c r="H45" s="5">
        <f>H44-Table_2[[#This Row],[CANTIDAD2]]</f>
        <v>53</v>
      </c>
    </row>
    <row r="46" spans="1:8" ht="15.75" customHeight="1">
      <c r="A46" s="3"/>
      <c r="B46" s="3"/>
      <c r="C46" s="1"/>
      <c r="D46" s="4"/>
      <c r="E46" s="5"/>
      <c r="F46" s="5">
        <f>F45-'15W-40'!$E46+'15W-40'!$D46</f>
        <v>0</v>
      </c>
      <c r="G46" s="1"/>
      <c r="H46" s="5">
        <f>H45-Table_2[[#This Row],[CANTIDAD2]]</f>
        <v>53</v>
      </c>
    </row>
    <row r="47" spans="1:8" ht="15.75" customHeight="1">
      <c r="A47" s="3"/>
      <c r="B47" s="3"/>
      <c r="C47" s="1"/>
      <c r="D47" s="4"/>
      <c r="E47" s="5"/>
      <c r="F47" s="5"/>
      <c r="G47" s="1"/>
      <c r="H47" s="5">
        <f>H46-Table_2[[#This Row],[CANTIDAD2]]</f>
        <v>53</v>
      </c>
    </row>
    <row r="48" spans="1:8" ht="15.75" customHeight="1">
      <c r="A48" s="3"/>
      <c r="B48" s="3"/>
      <c r="C48" s="17"/>
      <c r="D48" s="4"/>
      <c r="E48" s="5"/>
      <c r="F48" s="5"/>
      <c r="G48" s="1"/>
      <c r="H48" s="5">
        <f>H47-Table_2[[#This Row],[CANTIDAD2]]</f>
        <v>53</v>
      </c>
    </row>
    <row r="49" spans="1:8" ht="15.75" customHeight="1">
      <c r="A49" s="3"/>
      <c r="B49" s="3"/>
      <c r="C49" s="17"/>
      <c r="D49" s="4"/>
      <c r="E49" s="5"/>
      <c r="F49" s="5"/>
      <c r="G49" s="1"/>
      <c r="H49" s="5">
        <f>H48-Table_2[[#This Row],[CANTIDAD2]]</f>
        <v>53</v>
      </c>
    </row>
    <row r="50" spans="1:8" ht="15.75" customHeight="1">
      <c r="A50" s="3"/>
      <c r="B50" s="3"/>
      <c r="C50" s="1"/>
      <c r="D50" s="4"/>
      <c r="E50" s="5"/>
      <c r="F50" s="5"/>
      <c r="G50" s="1"/>
      <c r="H50" s="5">
        <f>H49-Table_2[[#This Row],[CANTIDAD2]]</f>
        <v>53</v>
      </c>
    </row>
    <row r="51" spans="1:8" ht="15.75" customHeight="1">
      <c r="A51" s="3"/>
      <c r="B51" s="3"/>
      <c r="C51" s="17"/>
      <c r="D51" s="4"/>
      <c r="E51" s="5"/>
      <c r="F51" s="5"/>
      <c r="G51" s="1"/>
      <c r="H51" s="5">
        <f>H50-Table_2[[#This Row],[CANTIDAD2]]</f>
        <v>53</v>
      </c>
    </row>
    <row r="52" spans="1:8" ht="15.75" customHeight="1">
      <c r="A52" s="3"/>
      <c r="B52" s="3"/>
      <c r="C52" s="1"/>
      <c r="D52" s="4"/>
      <c r="E52" s="5"/>
      <c r="F52" s="5"/>
      <c r="G52" s="1"/>
      <c r="H52" s="5">
        <f>H51-Table_2[[#This Row],[CANTIDAD2]]</f>
        <v>53</v>
      </c>
    </row>
    <row r="53" spans="1:8" ht="15.75" customHeight="1">
      <c r="A53" s="3"/>
      <c r="B53" s="3"/>
      <c r="C53" s="17"/>
      <c r="D53" s="4"/>
      <c r="E53" s="5"/>
      <c r="F53" s="5"/>
      <c r="G53" s="1"/>
      <c r="H53" s="5">
        <f>H52-Table_2[[#This Row],[CANTIDAD2]]</f>
        <v>53</v>
      </c>
    </row>
    <row r="54" spans="1:8" ht="15.75" customHeight="1">
      <c r="A54" s="3"/>
      <c r="B54" s="3"/>
      <c r="C54" s="1"/>
      <c r="D54" s="4"/>
      <c r="E54" s="5"/>
      <c r="F54" s="5"/>
      <c r="G54" s="1"/>
      <c r="H54" s="5">
        <f>H53-Table_2[[#This Row],[CANTIDAD2]]</f>
        <v>53</v>
      </c>
    </row>
    <row r="55" spans="1:8" ht="15.75" customHeight="1">
      <c r="A55" s="3"/>
      <c r="B55" s="3"/>
      <c r="C55" s="1"/>
      <c r="D55" s="4"/>
      <c r="E55" s="5"/>
      <c r="F55" s="5"/>
      <c r="G55" s="1"/>
      <c r="H55" s="5">
        <f>H54-Table_2[[#This Row],[CANTIDAD2]]</f>
        <v>53</v>
      </c>
    </row>
    <row r="56" spans="1:8" ht="15.75" customHeight="1">
      <c r="A56" s="3"/>
      <c r="B56" s="3"/>
      <c r="C56" s="1"/>
      <c r="D56" s="4"/>
      <c r="E56" s="5"/>
      <c r="F56" s="5"/>
      <c r="G56" s="1"/>
      <c r="H56" s="5">
        <f>H55-Table_2[[#This Row],[CANTIDAD2]]</f>
        <v>53</v>
      </c>
    </row>
    <row r="57" spans="1:8" ht="15.75" customHeight="1">
      <c r="A57" s="3"/>
      <c r="B57" s="3"/>
      <c r="C57" s="1"/>
      <c r="D57" s="4"/>
      <c r="E57" s="5"/>
      <c r="F57" s="5"/>
      <c r="G57" s="1"/>
      <c r="H57" s="5">
        <f>H56-Table_2[[#This Row],[CANTIDAD2]]</f>
        <v>53</v>
      </c>
    </row>
    <row r="58" spans="1:8" ht="15.75" customHeight="1">
      <c r="A58" s="3"/>
      <c r="B58" s="3"/>
      <c r="C58" s="1"/>
      <c r="D58" s="4"/>
      <c r="E58" s="5"/>
      <c r="F58" s="5"/>
      <c r="G58" s="1"/>
      <c r="H58" s="5">
        <f>H57-Table_2[[#This Row],[CANTIDAD2]]</f>
        <v>53</v>
      </c>
    </row>
    <row r="59" spans="1:8" ht="15.75" customHeight="1">
      <c r="A59" s="3"/>
      <c r="B59" s="3"/>
      <c r="C59" s="1"/>
      <c r="D59" s="4"/>
      <c r="E59" s="5"/>
      <c r="F59" s="5"/>
      <c r="G59" s="1"/>
      <c r="H59" s="5">
        <f>H58-Table_2[[#This Row],[CANTIDAD2]]</f>
        <v>53</v>
      </c>
    </row>
    <row r="60" spans="1:8" ht="15.75" customHeight="1">
      <c r="A60" s="3"/>
      <c r="B60" s="3"/>
      <c r="C60" s="1"/>
      <c r="D60" s="4"/>
      <c r="E60" s="5"/>
      <c r="F60" s="5"/>
      <c r="G60" s="1"/>
      <c r="H60" s="5">
        <f>H59-Table_2[[#This Row],[CANTIDAD2]]</f>
        <v>53</v>
      </c>
    </row>
    <row r="61" spans="1:8" ht="15.75" customHeight="1">
      <c r="A61" s="3"/>
      <c r="B61" s="3"/>
      <c r="C61" s="17"/>
      <c r="D61" s="4"/>
      <c r="E61" s="5"/>
      <c r="F61" s="5"/>
      <c r="G61" s="1"/>
      <c r="H61" s="5">
        <f>H60-Table_2[[#This Row],[CANTIDAD2]]</f>
        <v>53</v>
      </c>
    </row>
    <row r="62" spans="1:8" ht="15.75" customHeight="1">
      <c r="A62" s="3"/>
      <c r="B62" s="3"/>
      <c r="C62" s="1"/>
      <c r="D62" s="4"/>
      <c r="E62" s="5"/>
      <c r="F62" s="5"/>
      <c r="G62" s="1"/>
      <c r="H62" s="5">
        <f>H61-Table_2[[#This Row],[CANTIDAD2]]</f>
        <v>53</v>
      </c>
    </row>
    <row r="63" spans="1:8" ht="15.75" customHeight="1">
      <c r="A63" s="1"/>
      <c r="B63" s="1"/>
      <c r="C63" s="1"/>
      <c r="D63" s="4"/>
      <c r="E63" s="5"/>
      <c r="F63" s="5"/>
      <c r="G63" s="1"/>
      <c r="H63" s="5">
        <f>H62-Table_2[[#This Row],[CANTIDAD2]]</f>
        <v>53</v>
      </c>
    </row>
    <row r="64" spans="1:8" ht="15.75" customHeight="1">
      <c r="A64" s="1"/>
      <c r="B64" s="1"/>
      <c r="C64" s="1"/>
      <c r="D64" s="4"/>
      <c r="E64" s="5"/>
      <c r="F64" s="5"/>
      <c r="G64" s="1"/>
      <c r="H64" s="5">
        <f>H63-Table_2[[#This Row],[CANTIDAD2]]</f>
        <v>53</v>
      </c>
    </row>
    <row r="65" spans="1:8" ht="15.75" customHeight="1">
      <c r="A65" s="1"/>
      <c r="B65" s="1"/>
      <c r="C65" s="1"/>
      <c r="D65" s="4"/>
      <c r="E65" s="5"/>
      <c r="F65" s="5"/>
      <c r="G65" s="1"/>
      <c r="H65" s="5">
        <f>H64-Table_2[[#This Row],[CANTIDAD2]]</f>
        <v>53</v>
      </c>
    </row>
    <row r="66" spans="1:8" ht="15.75" customHeight="1">
      <c r="A66" s="1"/>
      <c r="B66" s="1"/>
      <c r="C66" s="1"/>
      <c r="D66" s="4"/>
      <c r="E66" s="5"/>
      <c r="F66" s="5"/>
      <c r="G66" s="1"/>
      <c r="H66" s="5">
        <f>H65-Table_2[[#This Row],[CANTIDAD2]]</f>
        <v>53</v>
      </c>
    </row>
    <row r="67" spans="1:8" ht="15.75" customHeight="1">
      <c r="A67" s="1"/>
      <c r="B67" s="1"/>
      <c r="C67" s="1"/>
      <c r="D67" s="4"/>
      <c r="E67" s="5"/>
      <c r="F67" s="5"/>
      <c r="G67" s="1"/>
      <c r="H67" s="5">
        <f>H66-Table_2[[#This Row],[CANTIDAD2]]</f>
        <v>53</v>
      </c>
    </row>
    <row r="68" spans="1:8" ht="15.75" customHeight="1">
      <c r="A68" s="1"/>
      <c r="B68" s="1"/>
      <c r="C68" s="1"/>
      <c r="D68" s="4"/>
      <c r="E68" s="5"/>
      <c r="F68" s="5"/>
      <c r="G68" s="1"/>
      <c r="H68" s="5">
        <f>H67-Table_2[[#This Row],[CANTIDAD2]]</f>
        <v>53</v>
      </c>
    </row>
    <row r="69" spans="1:8" ht="15.75" customHeight="1">
      <c r="A69" s="1"/>
      <c r="B69" s="1"/>
      <c r="C69" s="1"/>
      <c r="D69" s="4"/>
      <c r="E69" s="5"/>
      <c r="F69" s="5"/>
      <c r="G69" s="1"/>
      <c r="H69" s="5">
        <f>H68-Table_2[[#This Row],[CANTIDAD2]]</f>
        <v>53</v>
      </c>
    </row>
    <row r="70" spans="1:8" ht="15.75" customHeight="1">
      <c r="A70" s="1"/>
      <c r="B70" s="1"/>
      <c r="C70" s="1"/>
      <c r="D70" s="4"/>
      <c r="E70" s="5"/>
      <c r="F70" s="5"/>
      <c r="G70" s="1"/>
      <c r="H70" s="5">
        <f>H69-Table_2[[#This Row],[CANTIDAD2]]</f>
        <v>53</v>
      </c>
    </row>
    <row r="71" spans="1:8" ht="15.75" customHeight="1">
      <c r="A71" s="1"/>
      <c r="B71" s="1"/>
      <c r="C71" s="1"/>
      <c r="D71" s="4"/>
      <c r="E71" s="5"/>
      <c r="F71" s="5"/>
      <c r="G71" s="1"/>
      <c r="H71" s="5">
        <f>H70-Table_2[[#This Row],[CANTIDAD2]]</f>
        <v>53</v>
      </c>
    </row>
    <row r="72" spans="1:8" ht="15.75" customHeight="1">
      <c r="A72" s="1"/>
      <c r="B72" s="1"/>
      <c r="C72" s="1"/>
      <c r="D72" s="4"/>
      <c r="E72" s="5"/>
      <c r="F72" s="5"/>
      <c r="G72" s="1"/>
      <c r="H72" s="5">
        <f>H71-Table_2[[#This Row],[CANTIDAD2]]</f>
        <v>53</v>
      </c>
    </row>
    <row r="73" spans="1:8" ht="15.75" customHeight="1">
      <c r="A73" s="1"/>
      <c r="B73" s="1"/>
      <c r="C73" s="1"/>
      <c r="D73" s="4"/>
      <c r="E73" s="5"/>
      <c r="F73" s="5"/>
      <c r="G73" s="1"/>
      <c r="H73" s="5">
        <f>H72-Table_2[[#This Row],[CANTIDAD2]]</f>
        <v>53</v>
      </c>
    </row>
    <row r="74" spans="1:8" ht="15.75" customHeight="1">
      <c r="A74" s="1"/>
      <c r="B74" s="1"/>
      <c r="C74" s="1"/>
      <c r="D74" s="4"/>
      <c r="E74" s="5">
        <f>SUBTOTAL(109,'15W-40'!$E$10:$E$73)</f>
        <v>52</v>
      </c>
      <c r="F74" s="5"/>
      <c r="G74" s="21"/>
    </row>
    <row r="75" spans="1:8" ht="15.75" customHeight="1"/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</sheetData>
  <mergeCells count="4">
    <mergeCell ref="B8:C8"/>
    <mergeCell ref="D8:G8"/>
    <mergeCell ref="A1:B4"/>
    <mergeCell ref="C1:G4"/>
  </mergeCells>
  <phoneticPr fontId="8" type="noConversion"/>
  <pageMargins left="0.70866141732283472" right="0.70866141732283472" top="0.74803149606299213" bottom="0.74803149606299213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M107"/>
  <sheetViews>
    <sheetView topLeftCell="A46" workbookViewId="0">
      <selection activeCell="E62" sqref="E62"/>
    </sheetView>
  </sheetViews>
  <sheetFormatPr baseColWidth="10" defaultColWidth="12.54296875" defaultRowHeight="15" customHeight="1"/>
  <cols>
    <col min="1" max="1" width="10.453125" customWidth="1"/>
    <col min="2" max="2" width="11.1796875" bestFit="1" customWidth="1"/>
    <col min="3" max="3" width="16.7265625" customWidth="1"/>
    <col min="4" max="4" width="13.453125" customWidth="1"/>
    <col min="5" max="5" width="31.81640625" customWidth="1"/>
    <col min="6" max="6" width="14.54296875" customWidth="1"/>
    <col min="7" max="8" width="19.1796875" bestFit="1" customWidth="1"/>
    <col min="9" max="12" width="8" customWidth="1"/>
  </cols>
  <sheetData>
    <row r="1" spans="1:13" ht="26.15" customHeight="1">
      <c r="A1" s="39"/>
      <c r="B1" s="39"/>
      <c r="C1" s="40" t="s">
        <v>13</v>
      </c>
      <c r="D1" s="41"/>
      <c r="E1" s="41"/>
      <c r="F1" s="41"/>
      <c r="G1" s="42"/>
      <c r="H1" s="20" t="s">
        <v>14</v>
      </c>
    </row>
    <row r="2" spans="1:13" ht="21.75" customHeight="1">
      <c r="A2" s="39"/>
      <c r="B2" s="39"/>
      <c r="C2" s="43"/>
      <c r="D2" s="44"/>
      <c r="E2" s="44"/>
      <c r="F2" s="44"/>
      <c r="G2" s="45"/>
      <c r="H2" s="15" t="s">
        <v>10</v>
      </c>
    </row>
    <row r="3" spans="1:13" ht="21.75" customHeight="1">
      <c r="A3" s="39"/>
      <c r="B3" s="39"/>
      <c r="C3" s="43"/>
      <c r="D3" s="44"/>
      <c r="E3" s="44"/>
      <c r="F3" s="44"/>
      <c r="G3" s="45"/>
      <c r="H3" s="15" t="s">
        <v>11</v>
      </c>
    </row>
    <row r="4" spans="1:13" ht="21.75" customHeight="1">
      <c r="A4" s="39"/>
      <c r="B4" s="39"/>
      <c r="C4" s="46"/>
      <c r="D4" s="47"/>
      <c r="E4" s="47"/>
      <c r="F4" s="47"/>
      <c r="G4" s="48"/>
      <c r="H4" s="15" t="s">
        <v>12</v>
      </c>
    </row>
    <row r="5" spans="1:13" ht="21.75" customHeight="1">
      <c r="E5" s="11"/>
      <c r="G5" s="2"/>
      <c r="H5" s="2"/>
    </row>
    <row r="6" spans="1:13" ht="21.75" customHeight="1">
      <c r="E6" s="11"/>
      <c r="G6" s="2"/>
      <c r="H6" s="2"/>
      <c r="M6">
        <f>6*19</f>
        <v>114</v>
      </c>
    </row>
    <row r="7" spans="1:13" ht="21.75" customHeight="1">
      <c r="G7" s="2"/>
      <c r="H7" s="2"/>
      <c r="L7">
        <f>19*2+3</f>
        <v>41</v>
      </c>
    </row>
    <row r="8" spans="1:13" ht="15" customHeight="1">
      <c r="B8" s="37" t="s">
        <v>3</v>
      </c>
      <c r="C8" s="38"/>
      <c r="D8" s="37" t="s">
        <v>6</v>
      </c>
      <c r="E8" s="37"/>
      <c r="F8" s="37"/>
      <c r="G8" s="37"/>
    </row>
    <row r="9" spans="1:13" ht="14.5">
      <c r="A9" s="16" t="s">
        <v>0</v>
      </c>
      <c r="B9" s="7" t="s">
        <v>1</v>
      </c>
      <c r="C9" s="7" t="s">
        <v>2</v>
      </c>
      <c r="D9" s="7" t="s">
        <v>7</v>
      </c>
      <c r="E9" s="7" t="s">
        <v>5</v>
      </c>
      <c r="F9" s="7" t="s">
        <v>4</v>
      </c>
      <c r="G9" s="7" t="s">
        <v>8</v>
      </c>
      <c r="H9" s="7" t="s">
        <v>9</v>
      </c>
    </row>
    <row r="10" spans="1:13" ht="14.5">
      <c r="A10" s="22"/>
      <c r="B10" s="24" t="s">
        <v>9</v>
      </c>
      <c r="C10" s="23">
        <v>10</v>
      </c>
      <c r="D10" s="23"/>
      <c r="E10" s="23"/>
      <c r="F10" s="23"/>
      <c r="G10" s="23"/>
      <c r="H10" s="25">
        <f>Table_22[[#This Row],[CANTIDAD]]-Table_22[[#This Row],[CANTIDAD2]]</f>
        <v>10</v>
      </c>
    </row>
    <row r="11" spans="1:13" ht="14.5">
      <c r="A11" s="3">
        <v>46231</v>
      </c>
      <c r="B11" s="9" t="s">
        <v>15</v>
      </c>
      <c r="C11" s="27">
        <v>114</v>
      </c>
      <c r="D11" s="23"/>
      <c r="E11" s="23"/>
      <c r="F11" s="23"/>
      <c r="G11" s="23"/>
      <c r="H11" s="25">
        <f>H10+Table_22[[#This Row],[CANTIDAD]]</f>
        <v>124</v>
      </c>
    </row>
    <row r="12" spans="1:13" ht="14.5">
      <c r="A12" s="3">
        <v>46231</v>
      </c>
      <c r="B12" s="9" t="s">
        <v>15</v>
      </c>
      <c r="C12" s="27">
        <v>114</v>
      </c>
      <c r="D12" s="4" t="s">
        <v>21</v>
      </c>
      <c r="E12" s="5" t="s">
        <v>22</v>
      </c>
      <c r="F12" s="5">
        <v>36</v>
      </c>
      <c r="G12" s="1" t="s">
        <v>17</v>
      </c>
      <c r="H12" s="5">
        <f>H11-Table_22[[#This Row],[CANTIDAD2]]</f>
        <v>88</v>
      </c>
      <c r="L12">
        <f>41-28.5</f>
        <v>12.5</v>
      </c>
    </row>
    <row r="13" spans="1:13" ht="14.5">
      <c r="A13" s="3">
        <v>46232</v>
      </c>
      <c r="B13" s="3"/>
      <c r="C13" s="8"/>
      <c r="D13" s="8" t="s">
        <v>16</v>
      </c>
      <c r="E13" s="10" t="s">
        <v>22</v>
      </c>
      <c r="F13" s="5">
        <v>18</v>
      </c>
      <c r="G13" s="1" t="s">
        <v>23</v>
      </c>
      <c r="H13" s="5">
        <f>H12-Table_22[[#This Row],[CANTIDAD2]]</f>
        <v>70</v>
      </c>
    </row>
    <row r="14" spans="1:13" ht="14.5">
      <c r="A14" s="3">
        <v>46234</v>
      </c>
      <c r="B14" s="9"/>
      <c r="C14" s="27"/>
      <c r="D14" s="8" t="s">
        <v>24</v>
      </c>
      <c r="E14" s="10" t="s">
        <v>25</v>
      </c>
      <c r="F14" s="5">
        <v>2</v>
      </c>
      <c r="G14" s="1"/>
      <c r="H14" s="5">
        <f>H13-Table_22[[#This Row],[CANTIDAD2]]</f>
        <v>68</v>
      </c>
      <c r="J14" s="12"/>
    </row>
    <row r="15" spans="1:13" ht="14.5">
      <c r="A15" s="3">
        <v>46234</v>
      </c>
      <c r="B15" s="3"/>
      <c r="C15" s="27"/>
      <c r="D15" s="8" t="s">
        <v>24</v>
      </c>
      <c r="E15" s="10" t="s">
        <v>26</v>
      </c>
      <c r="F15" s="5">
        <v>1.5</v>
      </c>
      <c r="G15" s="1"/>
      <c r="H15" s="5">
        <f>H14-Table_22[[#This Row],[CANTIDAD2]]</f>
        <v>66.5</v>
      </c>
      <c r="J15" s="13"/>
    </row>
    <row r="16" spans="1:13" ht="14.5">
      <c r="A16" s="3">
        <v>46235</v>
      </c>
      <c r="B16" s="3"/>
      <c r="C16" s="27"/>
      <c r="D16" s="4" t="s">
        <v>24</v>
      </c>
      <c r="E16" s="5" t="s">
        <v>27</v>
      </c>
      <c r="F16" s="5">
        <v>6</v>
      </c>
      <c r="G16" s="1"/>
      <c r="H16" s="5">
        <f>H15-Table_22[[#This Row],[CANTIDAD2]]</f>
        <v>60.5</v>
      </c>
    </row>
    <row r="17" spans="1:10" ht="14.5">
      <c r="A17" s="3">
        <v>46237</v>
      </c>
      <c r="B17" s="3"/>
      <c r="C17" s="8"/>
      <c r="D17" s="4" t="s">
        <v>21</v>
      </c>
      <c r="E17" s="5" t="s">
        <v>22</v>
      </c>
      <c r="F17" s="5">
        <v>19</v>
      </c>
      <c r="G17" s="1"/>
      <c r="H17" s="5">
        <f>H16-Table_22[[#This Row],[CANTIDAD2]]</f>
        <v>41.5</v>
      </c>
      <c r="J17" s="11"/>
    </row>
    <row r="18" spans="1:10" ht="14.5">
      <c r="A18" s="3">
        <v>46237</v>
      </c>
      <c r="B18" s="3"/>
      <c r="C18" s="28"/>
      <c r="D18" s="4" t="s">
        <v>21</v>
      </c>
      <c r="E18" s="5" t="s">
        <v>30</v>
      </c>
      <c r="F18" s="5">
        <v>5</v>
      </c>
      <c r="G18" s="1"/>
      <c r="H18" s="5">
        <f>H17-Table_22[[#This Row],[CANTIDAD2]]</f>
        <v>36.5</v>
      </c>
    </row>
    <row r="19" spans="1:10" ht="15" customHeight="1">
      <c r="A19" s="3">
        <v>46238</v>
      </c>
      <c r="B19" s="3"/>
      <c r="C19" s="8"/>
      <c r="D19" s="4" t="s">
        <v>21</v>
      </c>
      <c r="E19" s="5" t="s">
        <v>31</v>
      </c>
      <c r="F19" s="5">
        <v>3</v>
      </c>
      <c r="G19" s="1"/>
      <c r="H19" s="5">
        <f>H18-Table_22[[#This Row],[CANTIDAD2]]</f>
        <v>33.5</v>
      </c>
    </row>
    <row r="20" spans="1:10" ht="14.5">
      <c r="A20" s="3">
        <v>46239</v>
      </c>
      <c r="B20" s="3"/>
      <c r="C20" s="8"/>
      <c r="D20" s="4" t="s">
        <v>21</v>
      </c>
      <c r="E20" s="5" t="s">
        <v>31</v>
      </c>
      <c r="F20" s="5">
        <v>3</v>
      </c>
      <c r="G20" s="1"/>
      <c r="H20" s="5">
        <f>H19-Table_22[[#This Row],[CANTIDAD2]]</f>
        <v>30.5</v>
      </c>
    </row>
    <row r="21" spans="1:10" ht="15" customHeight="1">
      <c r="A21" s="3">
        <v>46240</v>
      </c>
      <c r="B21" s="3"/>
      <c r="C21" s="27"/>
      <c r="D21" s="4" t="s">
        <v>21</v>
      </c>
      <c r="E21" s="5" t="s">
        <v>31</v>
      </c>
      <c r="F21" s="5">
        <v>1</v>
      </c>
      <c r="G21" s="1"/>
      <c r="H21" s="5">
        <f>H20-Table_22[[#This Row],[CANTIDAD2]]</f>
        <v>29.5</v>
      </c>
    </row>
    <row r="22" spans="1:10" ht="14.5">
      <c r="A22" s="3">
        <v>46247</v>
      </c>
      <c r="B22" s="3"/>
      <c r="C22" s="27"/>
      <c r="D22" s="4" t="s">
        <v>21</v>
      </c>
      <c r="E22" s="26" t="s">
        <v>32</v>
      </c>
      <c r="F22" s="5">
        <v>2</v>
      </c>
      <c r="G22" s="1"/>
      <c r="H22" s="5">
        <f>H21-Table_22[[#This Row],[CANTIDAD2]]</f>
        <v>27.5</v>
      </c>
    </row>
    <row r="23" spans="1:10" ht="14.5">
      <c r="A23" s="3">
        <v>46251</v>
      </c>
      <c r="B23" s="3"/>
      <c r="C23" s="8"/>
      <c r="D23" s="8" t="s">
        <v>21</v>
      </c>
      <c r="E23" s="10" t="s">
        <v>33</v>
      </c>
      <c r="F23" s="5">
        <v>1.5</v>
      </c>
      <c r="G23" s="1"/>
      <c r="H23" s="5">
        <f>H22-Table_22[[#This Row],[CANTIDAD2]]</f>
        <v>26</v>
      </c>
    </row>
    <row r="24" spans="1:10" ht="14.5">
      <c r="A24" s="3">
        <v>46251</v>
      </c>
      <c r="B24" s="3"/>
      <c r="C24" s="8"/>
      <c r="D24" s="8" t="s">
        <v>21</v>
      </c>
      <c r="E24" s="10" t="s">
        <v>29</v>
      </c>
      <c r="F24" s="5">
        <v>2</v>
      </c>
      <c r="G24" s="1"/>
      <c r="H24" s="5">
        <f>H23-Table_22[[#This Row],[CANTIDAD2]]</f>
        <v>24</v>
      </c>
    </row>
    <row r="25" spans="1:10" ht="14.5">
      <c r="A25" s="3">
        <v>46252</v>
      </c>
      <c r="B25" s="3"/>
      <c r="C25" s="8"/>
      <c r="D25" s="8" t="s">
        <v>21</v>
      </c>
      <c r="E25" s="10" t="s">
        <v>31</v>
      </c>
      <c r="F25" s="5">
        <v>2</v>
      </c>
      <c r="G25" s="1"/>
      <c r="H25" s="5">
        <f>H24-Table_22[[#This Row],[CANTIDAD2]]</f>
        <v>22</v>
      </c>
    </row>
    <row r="26" spans="1:10" ht="14.5">
      <c r="A26" s="3">
        <v>46252</v>
      </c>
      <c r="B26" s="3"/>
      <c r="C26" s="8"/>
      <c r="D26" s="8" t="s">
        <v>21</v>
      </c>
      <c r="E26" s="10" t="s">
        <v>34</v>
      </c>
      <c r="F26" s="5">
        <v>1.5</v>
      </c>
      <c r="G26" s="1"/>
      <c r="H26" s="5">
        <f>H25-Table_22[[#This Row],[CANTIDAD2]]</f>
        <v>20.5</v>
      </c>
    </row>
    <row r="27" spans="1:10" ht="14.5">
      <c r="A27" s="3">
        <v>46252</v>
      </c>
      <c r="B27" s="3"/>
      <c r="C27" s="27"/>
      <c r="D27" s="8" t="s">
        <v>24</v>
      </c>
      <c r="E27" s="10" t="s">
        <v>35</v>
      </c>
      <c r="F27" s="5">
        <v>19</v>
      </c>
      <c r="G27" s="1"/>
      <c r="H27" s="5">
        <f>H26-Table_22[[#This Row],[CANTIDAD2]]</f>
        <v>1.5</v>
      </c>
    </row>
    <row r="28" spans="1:10" ht="15.75" customHeight="1">
      <c r="A28" s="3">
        <v>46254</v>
      </c>
      <c r="B28" s="3" t="s">
        <v>15</v>
      </c>
      <c r="C28" s="8">
        <v>95</v>
      </c>
      <c r="D28" s="4"/>
      <c r="E28" s="5"/>
      <c r="F28" s="5"/>
      <c r="G28" s="1"/>
      <c r="H28" s="5">
        <f>Table_22[[#This Row],[CANTIDAD]]+H27</f>
        <v>96.5</v>
      </c>
    </row>
    <row r="29" spans="1:10" ht="15.75" customHeight="1">
      <c r="A29" s="3">
        <v>46254</v>
      </c>
      <c r="B29" s="3"/>
      <c r="C29" s="17"/>
      <c r="D29" s="8" t="s">
        <v>21</v>
      </c>
      <c r="E29" s="10" t="s">
        <v>36</v>
      </c>
      <c r="F29" s="5">
        <v>2</v>
      </c>
      <c r="G29" s="1"/>
      <c r="H29" s="5">
        <f>H28-Table_22[[#This Row],[CANTIDAD2]]</f>
        <v>94.5</v>
      </c>
    </row>
    <row r="30" spans="1:10" ht="15.75" customHeight="1">
      <c r="A30" s="3">
        <v>46254</v>
      </c>
      <c r="B30" s="3"/>
      <c r="C30" s="17"/>
      <c r="D30" s="8" t="s">
        <v>24</v>
      </c>
      <c r="E30" s="31" t="s">
        <v>37</v>
      </c>
      <c r="F30" s="5">
        <v>1.5</v>
      </c>
      <c r="G30" s="1"/>
      <c r="H30" s="5">
        <f>H29-Table_22[[#This Row],[CANTIDAD2]]</f>
        <v>93</v>
      </c>
    </row>
    <row r="31" spans="1:10" ht="15.75" customHeight="1">
      <c r="A31" s="3">
        <v>46254</v>
      </c>
      <c r="B31" s="3"/>
      <c r="C31" s="17"/>
      <c r="D31" s="29" t="s">
        <v>24</v>
      </c>
      <c r="E31" s="32" t="s">
        <v>38</v>
      </c>
      <c r="F31" s="5">
        <v>19</v>
      </c>
      <c r="G31" s="1"/>
      <c r="H31" s="5">
        <f>H30-Table_22[[#This Row],[CANTIDAD2]]</f>
        <v>74</v>
      </c>
    </row>
    <row r="32" spans="1:10" ht="15.75" customHeight="1">
      <c r="A32" s="3">
        <v>46254</v>
      </c>
      <c r="B32" s="3"/>
      <c r="C32" s="17"/>
      <c r="D32" s="8" t="s">
        <v>21</v>
      </c>
      <c r="E32" s="32" t="s">
        <v>25</v>
      </c>
      <c r="F32" s="5">
        <v>3</v>
      </c>
      <c r="G32" s="1"/>
      <c r="H32" s="5">
        <f>H31-Table_22[[#This Row],[CANTIDAD2]]</f>
        <v>71</v>
      </c>
    </row>
    <row r="33" spans="1:8" ht="15.75" customHeight="1">
      <c r="A33" s="3">
        <v>46254</v>
      </c>
      <c r="B33" s="3"/>
      <c r="C33" s="17"/>
      <c r="D33" s="8" t="s">
        <v>24</v>
      </c>
      <c r="E33" s="32" t="s">
        <v>39</v>
      </c>
      <c r="F33" s="5">
        <v>1.5</v>
      </c>
      <c r="G33" s="1"/>
      <c r="H33" s="5">
        <f>H32-Table_22[[#This Row],[CANTIDAD2]]</f>
        <v>69.5</v>
      </c>
    </row>
    <row r="34" spans="1:8" ht="15.75" customHeight="1">
      <c r="A34" s="3">
        <v>46256</v>
      </c>
      <c r="B34" s="3"/>
      <c r="C34" s="17"/>
      <c r="D34" s="8" t="s">
        <v>24</v>
      </c>
      <c r="E34" s="33" t="s">
        <v>40</v>
      </c>
      <c r="F34" s="5">
        <v>19</v>
      </c>
      <c r="G34" s="1"/>
      <c r="H34" s="5">
        <f>H33-Table_22[[#This Row],[CANTIDAD2]]</f>
        <v>50.5</v>
      </c>
    </row>
    <row r="35" spans="1:8" ht="15.75" customHeight="1">
      <c r="A35" s="3">
        <v>46258</v>
      </c>
      <c r="B35" s="3"/>
      <c r="C35" s="17"/>
      <c r="D35" s="8" t="s">
        <v>24</v>
      </c>
      <c r="E35" s="34" t="s">
        <v>33</v>
      </c>
      <c r="F35" s="5">
        <v>2</v>
      </c>
      <c r="G35" s="1"/>
      <c r="H35" s="5">
        <f>H34-Table_22[[#This Row],[CANTIDAD2]]</f>
        <v>48.5</v>
      </c>
    </row>
    <row r="36" spans="1:8" ht="15.75" customHeight="1">
      <c r="A36" s="3">
        <v>46258</v>
      </c>
      <c r="B36" s="3"/>
      <c r="C36" s="19"/>
      <c r="D36" s="8" t="s">
        <v>21</v>
      </c>
      <c r="E36" s="32" t="s">
        <v>36</v>
      </c>
      <c r="F36" s="5">
        <v>1</v>
      </c>
      <c r="G36" s="1"/>
      <c r="H36" s="5">
        <f>H35-Table_22[[#This Row],[CANTIDAD2]]</f>
        <v>47.5</v>
      </c>
    </row>
    <row r="37" spans="1:8" ht="15.75" customHeight="1">
      <c r="A37" s="3">
        <v>46258</v>
      </c>
      <c r="B37" s="3"/>
      <c r="C37" s="17"/>
      <c r="D37" s="8" t="s">
        <v>24</v>
      </c>
      <c r="E37" s="34" t="s">
        <v>29</v>
      </c>
      <c r="F37" s="5">
        <v>2</v>
      </c>
      <c r="G37" s="1"/>
      <c r="H37" s="5">
        <f>H36-Table_22[[#This Row],[CANTIDAD2]]</f>
        <v>45.5</v>
      </c>
    </row>
    <row r="38" spans="1:8" ht="15.75" customHeight="1">
      <c r="A38" s="3">
        <v>46258</v>
      </c>
      <c r="B38" s="3"/>
      <c r="C38" s="17"/>
      <c r="D38" s="8" t="s">
        <v>21</v>
      </c>
      <c r="E38" s="10" t="s">
        <v>42</v>
      </c>
      <c r="F38" s="5">
        <v>3</v>
      </c>
      <c r="G38" s="1"/>
      <c r="H38" s="5">
        <f>H37-Table_22[[#This Row],[CANTIDAD2]]</f>
        <v>42.5</v>
      </c>
    </row>
    <row r="39" spans="1:8" ht="15.75" customHeight="1">
      <c r="A39" s="3">
        <v>46260</v>
      </c>
      <c r="B39" s="3"/>
      <c r="C39" s="17"/>
      <c r="D39" s="8" t="s">
        <v>21</v>
      </c>
      <c r="E39" s="10" t="s">
        <v>36</v>
      </c>
      <c r="F39" s="5">
        <v>1.5</v>
      </c>
      <c r="G39" s="1"/>
      <c r="H39" s="5">
        <f>H38-Table_22[[#This Row],[CANTIDAD2]]</f>
        <v>41</v>
      </c>
    </row>
    <row r="40" spans="1:8" ht="15.75" customHeight="1">
      <c r="A40" s="3">
        <v>46260</v>
      </c>
      <c r="B40" s="3"/>
      <c r="C40" s="4"/>
      <c r="D40" s="4" t="s">
        <v>24</v>
      </c>
      <c r="E40" s="5" t="s">
        <v>44</v>
      </c>
      <c r="F40" s="5">
        <v>19</v>
      </c>
      <c r="G40" s="1"/>
      <c r="H40" s="5">
        <f>H39-Table_22[[#This Row],[CANTIDAD2]]</f>
        <v>22</v>
      </c>
    </row>
    <row r="41" spans="1:8" ht="15.75" customHeight="1">
      <c r="A41" s="3">
        <v>46261</v>
      </c>
      <c r="B41" s="3"/>
      <c r="C41" s="17"/>
      <c r="D41" s="4" t="s">
        <v>24</v>
      </c>
      <c r="E41" s="5" t="s">
        <v>45</v>
      </c>
      <c r="F41" s="5">
        <v>2</v>
      </c>
      <c r="G41" s="1"/>
      <c r="H41" s="5">
        <f>H40-Table_22[[#This Row],[CANTIDAD2]]</f>
        <v>20</v>
      </c>
    </row>
    <row r="42" spans="1:8" ht="15.75" customHeight="1">
      <c r="A42" s="3">
        <v>46269</v>
      </c>
      <c r="B42" s="3"/>
      <c r="C42" s="17"/>
      <c r="D42" s="4" t="s">
        <v>24</v>
      </c>
      <c r="E42" s="5" t="s">
        <v>45</v>
      </c>
      <c r="F42" s="5">
        <v>1.5</v>
      </c>
      <c r="G42" s="1"/>
      <c r="H42" s="5">
        <f>H41-Table_22[[#This Row],[CANTIDAD2]]</f>
        <v>18.5</v>
      </c>
    </row>
    <row r="43" spans="1:8" ht="15.75" customHeight="1">
      <c r="A43" s="3">
        <v>46272</v>
      </c>
      <c r="B43" s="3"/>
      <c r="C43" s="17"/>
      <c r="D43" s="4" t="s">
        <v>24</v>
      </c>
      <c r="E43" s="5" t="s">
        <v>45</v>
      </c>
      <c r="F43" s="5">
        <v>2</v>
      </c>
      <c r="G43" s="1"/>
      <c r="H43" s="5">
        <f>H42-Table_22[[#This Row],[CANTIDAD2]]</f>
        <v>16.5</v>
      </c>
    </row>
    <row r="44" spans="1:8" ht="15.75" customHeight="1">
      <c r="A44" s="3">
        <v>46273</v>
      </c>
      <c r="B44" s="3"/>
      <c r="C44" s="1"/>
      <c r="D44" s="4" t="s">
        <v>24</v>
      </c>
      <c r="E44" s="5" t="s">
        <v>48</v>
      </c>
      <c r="F44" s="5">
        <v>1</v>
      </c>
      <c r="G44" s="1"/>
      <c r="H44" s="5">
        <f>H43-Table_22[[#This Row],[CANTIDAD2]]</f>
        <v>15.5</v>
      </c>
    </row>
    <row r="45" spans="1:8" ht="15.75" customHeight="1">
      <c r="A45" s="3">
        <v>46273</v>
      </c>
      <c r="B45" s="3"/>
      <c r="C45" s="1"/>
      <c r="D45" s="4" t="s">
        <v>24</v>
      </c>
      <c r="E45" s="10" t="s">
        <v>36</v>
      </c>
      <c r="F45" s="5">
        <v>2</v>
      </c>
      <c r="G45" s="1"/>
      <c r="H45" s="5">
        <f>H44-Table_22[[#This Row],[CANTIDAD2]]</f>
        <v>13.5</v>
      </c>
    </row>
    <row r="46" spans="1:8" ht="15.75" customHeight="1">
      <c r="A46" s="3">
        <v>46275</v>
      </c>
      <c r="B46" s="3"/>
      <c r="C46" s="1"/>
      <c r="D46" s="4" t="s">
        <v>24</v>
      </c>
      <c r="E46" s="5" t="s">
        <v>49</v>
      </c>
      <c r="F46" s="5">
        <v>2</v>
      </c>
      <c r="G46" s="1"/>
      <c r="H46" s="5">
        <f>H45-Table_22[[#This Row],[CANTIDAD2]]</f>
        <v>11.5</v>
      </c>
    </row>
    <row r="47" spans="1:8" ht="15.75" customHeight="1">
      <c r="A47" s="3">
        <v>46275</v>
      </c>
      <c r="B47" s="3"/>
      <c r="C47" s="17"/>
      <c r="D47" s="4" t="s">
        <v>24</v>
      </c>
      <c r="E47" s="5" t="s">
        <v>50</v>
      </c>
      <c r="F47" s="5">
        <v>1.5</v>
      </c>
      <c r="G47" s="1"/>
      <c r="H47" s="5">
        <f>H46-Table_22[[#This Row],[CANTIDAD2]]</f>
        <v>10</v>
      </c>
    </row>
    <row r="48" spans="1:8" ht="15.75" customHeight="1">
      <c r="A48" s="3">
        <v>46275</v>
      </c>
      <c r="B48" s="3"/>
      <c r="C48" s="17"/>
      <c r="D48" s="4" t="s">
        <v>24</v>
      </c>
      <c r="E48" s="5" t="s">
        <v>52</v>
      </c>
      <c r="F48" s="5">
        <v>2</v>
      </c>
      <c r="G48" s="1"/>
      <c r="H48" s="5">
        <f>H47-Table_22[[#This Row],[CANTIDAD2]]</f>
        <v>8</v>
      </c>
    </row>
    <row r="49" spans="1:8" ht="15.75" customHeight="1">
      <c r="A49" s="3">
        <v>46276</v>
      </c>
      <c r="B49" s="3"/>
      <c r="C49" s="1"/>
      <c r="D49" s="4" t="s">
        <v>24</v>
      </c>
      <c r="E49" s="5" t="s">
        <v>36</v>
      </c>
      <c r="F49" s="5">
        <v>3</v>
      </c>
      <c r="G49" s="1"/>
      <c r="H49" s="5">
        <f>H48-Table_22[[#This Row],[CANTIDAD2]]</f>
        <v>5</v>
      </c>
    </row>
    <row r="50" spans="1:8" ht="15.75" customHeight="1">
      <c r="A50" s="3">
        <v>46276</v>
      </c>
      <c r="B50" s="3"/>
      <c r="C50" s="17"/>
      <c r="D50" s="4" t="s">
        <v>24</v>
      </c>
      <c r="E50" s="5" t="s">
        <v>50</v>
      </c>
      <c r="F50" s="5">
        <v>2</v>
      </c>
      <c r="G50" s="1"/>
      <c r="H50" s="5">
        <f>H49-Table_22[[#This Row],[CANTIDAD2]]</f>
        <v>3</v>
      </c>
    </row>
    <row r="51" spans="1:8" ht="15.75" customHeight="1">
      <c r="A51" s="3">
        <v>46279</v>
      </c>
      <c r="B51" s="3"/>
      <c r="C51" s="1"/>
      <c r="D51" s="4" t="s">
        <v>24</v>
      </c>
      <c r="E51" s="35">
        <v>31</v>
      </c>
      <c r="F51" s="5">
        <v>3</v>
      </c>
      <c r="G51" s="1"/>
      <c r="H51" s="5">
        <f>H50-Table_22[[#This Row],[CANTIDAD2]]</f>
        <v>0</v>
      </c>
    </row>
    <row r="52" spans="1:8" ht="15.75" customHeight="1">
      <c r="A52" s="3">
        <v>46283</v>
      </c>
      <c r="B52" s="3" t="s">
        <v>15</v>
      </c>
      <c r="C52" s="17">
        <v>114</v>
      </c>
      <c r="D52" s="4"/>
      <c r="E52" s="5"/>
      <c r="F52" s="5"/>
      <c r="G52" s="1"/>
      <c r="H52" s="25">
        <f>Table_22[[#This Row],[CANTIDAD]]-Table_22[[#This Row],[CANTIDAD2]]</f>
        <v>114</v>
      </c>
    </row>
    <row r="53" spans="1:8" ht="15.75" customHeight="1">
      <c r="A53" s="3">
        <v>46283</v>
      </c>
      <c r="B53" s="3"/>
      <c r="C53" s="1"/>
      <c r="D53" s="4" t="s">
        <v>24</v>
      </c>
      <c r="E53" s="5" t="s">
        <v>53</v>
      </c>
      <c r="F53" s="5">
        <v>2</v>
      </c>
      <c r="G53" s="1"/>
      <c r="H53" s="5">
        <f>H52-Table_22[[#This Row],[CANTIDAD2]]</f>
        <v>112</v>
      </c>
    </row>
    <row r="54" spans="1:8" ht="15.75" customHeight="1">
      <c r="A54" s="3">
        <v>46284</v>
      </c>
      <c r="B54" s="3"/>
      <c r="C54" s="1"/>
      <c r="D54" s="4" t="s">
        <v>24</v>
      </c>
      <c r="E54" s="35">
        <v>31</v>
      </c>
      <c r="F54" s="5">
        <v>2</v>
      </c>
      <c r="G54" s="1"/>
      <c r="H54" s="5">
        <f>H53-Table_22[[#This Row],[CANTIDAD2]]</f>
        <v>110</v>
      </c>
    </row>
    <row r="55" spans="1:8" ht="15.75" customHeight="1">
      <c r="A55" s="3">
        <v>46284</v>
      </c>
      <c r="B55" s="3"/>
      <c r="C55" s="1"/>
      <c r="D55" s="4" t="s">
        <v>21</v>
      </c>
      <c r="E55" s="5" t="s">
        <v>22</v>
      </c>
      <c r="F55" s="5">
        <v>19</v>
      </c>
      <c r="G55" s="1"/>
      <c r="H55" s="5">
        <f>H54-Table_22[[#This Row],[CANTIDAD2]]</f>
        <v>91</v>
      </c>
    </row>
    <row r="56" spans="1:8" ht="15.75" customHeight="1">
      <c r="A56" s="3">
        <v>46286</v>
      </c>
      <c r="B56" s="3"/>
      <c r="C56" s="17"/>
      <c r="D56" s="4" t="s">
        <v>16</v>
      </c>
      <c r="E56" s="5" t="s">
        <v>22</v>
      </c>
      <c r="F56" s="5">
        <v>57</v>
      </c>
      <c r="G56" s="1"/>
      <c r="H56" s="5">
        <f>H55-Table_22[[#This Row],[CANTIDAD2]]</f>
        <v>34</v>
      </c>
    </row>
    <row r="57" spans="1:8" ht="15.75" customHeight="1">
      <c r="A57" s="3">
        <v>46287</v>
      </c>
      <c r="B57" s="3"/>
      <c r="C57" s="1"/>
      <c r="D57" s="4" t="s">
        <v>16</v>
      </c>
      <c r="E57" s="5" t="s">
        <v>54</v>
      </c>
      <c r="F57" s="5">
        <v>2</v>
      </c>
      <c r="G57" s="1"/>
      <c r="H57" s="5">
        <f>H56-Table_22[[#This Row],[CANTIDAD2]]</f>
        <v>32</v>
      </c>
    </row>
    <row r="58" spans="1:8" ht="15.75" customHeight="1">
      <c r="A58" s="3">
        <v>46288</v>
      </c>
      <c r="B58" s="3"/>
      <c r="C58" s="1"/>
      <c r="D58" s="4" t="s">
        <v>21</v>
      </c>
      <c r="E58" s="5" t="s">
        <v>22</v>
      </c>
      <c r="F58" s="5">
        <v>10</v>
      </c>
      <c r="G58" s="1"/>
      <c r="H58" s="5">
        <f>H57-Table_22[[#This Row],[CANTIDAD2]]</f>
        <v>22</v>
      </c>
    </row>
    <row r="59" spans="1:8" ht="15.75" customHeight="1">
      <c r="A59" s="3">
        <v>46289</v>
      </c>
      <c r="B59" s="3"/>
      <c r="C59" s="1"/>
      <c r="D59" s="4" t="s">
        <v>24</v>
      </c>
      <c r="E59" s="5" t="s">
        <v>55</v>
      </c>
      <c r="F59" s="5">
        <v>2</v>
      </c>
      <c r="G59" s="1"/>
      <c r="H59" s="5">
        <f>H58-Table_22[[#This Row],[CANTIDAD2]]</f>
        <v>20</v>
      </c>
    </row>
    <row r="60" spans="1:8" ht="15.75" customHeight="1">
      <c r="A60" s="3">
        <v>46290</v>
      </c>
      <c r="B60" s="3"/>
      <c r="C60" s="17"/>
      <c r="D60" s="4" t="s">
        <v>24</v>
      </c>
      <c r="E60" s="5" t="s">
        <v>45</v>
      </c>
      <c r="F60" s="5">
        <v>2</v>
      </c>
      <c r="G60" s="1"/>
      <c r="H60" s="5">
        <f>H59-Table_22[[#This Row],[CANTIDAD2]]</f>
        <v>18</v>
      </c>
    </row>
    <row r="61" spans="1:8" ht="15.75" customHeight="1">
      <c r="A61" s="3">
        <v>46294</v>
      </c>
      <c r="B61" s="3"/>
      <c r="C61" s="1"/>
      <c r="D61" s="4" t="s">
        <v>16</v>
      </c>
      <c r="E61" s="5" t="s">
        <v>59</v>
      </c>
      <c r="F61" s="5">
        <v>18</v>
      </c>
      <c r="G61" s="1"/>
      <c r="H61" s="5">
        <f>H60-Table_22[[#This Row],[CANTIDAD2]]</f>
        <v>0</v>
      </c>
    </row>
    <row r="62" spans="1:8" ht="15.75" customHeight="1">
      <c r="A62" s="1"/>
      <c r="B62" s="1"/>
      <c r="C62" s="1"/>
      <c r="D62" s="4"/>
      <c r="E62" s="5"/>
      <c r="F62" s="5"/>
      <c r="G62" s="1"/>
      <c r="H62" s="5">
        <f>H61-Table_22[[#This Row],[CANTIDAD2]]</f>
        <v>0</v>
      </c>
    </row>
    <row r="63" spans="1:8" ht="15.75" customHeight="1">
      <c r="A63" s="1"/>
      <c r="B63" s="1"/>
      <c r="C63" s="1"/>
      <c r="D63" s="4"/>
      <c r="E63" s="5"/>
      <c r="F63" s="5"/>
      <c r="G63" s="1"/>
      <c r="H63" s="5">
        <f>H62-Table_22[[#This Row],[CANTIDAD2]]</f>
        <v>0</v>
      </c>
    </row>
    <row r="64" spans="1:8" ht="15.75" customHeight="1">
      <c r="A64" s="1"/>
      <c r="B64" s="1"/>
      <c r="C64" s="1"/>
      <c r="D64" s="4"/>
      <c r="E64" s="5"/>
      <c r="F64" s="5"/>
      <c r="G64" s="1"/>
      <c r="H64" s="5">
        <f>H63-Table_22[[#This Row],[CANTIDAD2]]</f>
        <v>0</v>
      </c>
    </row>
    <row r="65" spans="1:8" ht="15.75" customHeight="1">
      <c r="A65" s="1"/>
      <c r="B65" s="1"/>
      <c r="C65" s="1"/>
      <c r="D65" s="4"/>
      <c r="E65" s="5"/>
      <c r="F65" s="5"/>
      <c r="G65" s="1"/>
      <c r="H65" s="5">
        <f>H64-Table_22[[#This Row],[CANTIDAD2]]</f>
        <v>0</v>
      </c>
    </row>
    <row r="66" spans="1:8" ht="15.75" customHeight="1">
      <c r="A66" s="1"/>
      <c r="B66" s="1"/>
      <c r="C66" s="1"/>
      <c r="D66" s="4"/>
      <c r="E66" s="5"/>
      <c r="F66" s="5"/>
      <c r="G66" s="1"/>
      <c r="H66" s="5">
        <f>H65-Table_22[[#This Row],[CANTIDAD2]]</f>
        <v>0</v>
      </c>
    </row>
    <row r="67" spans="1:8" ht="15.75" customHeight="1">
      <c r="A67" s="1"/>
      <c r="B67" s="1"/>
      <c r="C67" s="1"/>
      <c r="D67" s="4"/>
      <c r="E67" s="5"/>
      <c r="F67" s="5"/>
      <c r="G67" s="1"/>
      <c r="H67" s="5">
        <f>H66-Table_22[[#This Row],[CANTIDAD2]]</f>
        <v>0</v>
      </c>
    </row>
    <row r="68" spans="1:8" ht="15.75" customHeight="1">
      <c r="A68" s="1"/>
      <c r="B68" s="1"/>
      <c r="C68" s="1"/>
      <c r="D68" s="4"/>
      <c r="E68" s="5"/>
      <c r="F68" s="5"/>
      <c r="G68" s="1"/>
      <c r="H68" s="5">
        <f>H67-Table_22[[#This Row],[CANTIDAD2]]</f>
        <v>0</v>
      </c>
    </row>
    <row r="69" spans="1:8" ht="15.75" customHeight="1">
      <c r="A69" s="1"/>
      <c r="B69" s="1"/>
      <c r="C69" s="1"/>
      <c r="D69" s="4"/>
      <c r="E69" s="5"/>
      <c r="F69" s="5"/>
      <c r="G69" s="1"/>
      <c r="H69" s="5">
        <f>H68-Table_22[[#This Row],[CANTIDAD2]]</f>
        <v>0</v>
      </c>
    </row>
    <row r="70" spans="1:8" ht="15.75" customHeight="1">
      <c r="A70" s="1"/>
      <c r="B70" s="1"/>
      <c r="C70" s="1"/>
      <c r="D70" s="4"/>
      <c r="E70" s="5"/>
      <c r="F70" s="5"/>
      <c r="G70" s="1"/>
      <c r="H70" s="5">
        <f>H69-Table_22[[#This Row],[CANTIDAD2]]</f>
        <v>0</v>
      </c>
    </row>
    <row r="71" spans="1:8" ht="15.75" customHeight="1">
      <c r="A71" s="1"/>
      <c r="B71" s="1"/>
      <c r="C71" s="1"/>
      <c r="D71" s="4"/>
      <c r="E71" s="5"/>
      <c r="F71" s="5"/>
      <c r="G71" s="1"/>
      <c r="H71" s="5">
        <f>H70-Table_22[[#This Row],[CANTIDAD2]]</f>
        <v>0</v>
      </c>
    </row>
    <row r="72" spans="1:8" ht="15.75" customHeight="1">
      <c r="A72" s="1"/>
      <c r="B72" s="1"/>
      <c r="C72" s="1"/>
      <c r="D72" s="4"/>
      <c r="E72" s="5"/>
      <c r="F72" s="5"/>
      <c r="G72" s="1"/>
      <c r="H72" s="5">
        <f>H71-Table_22[[#This Row],[CANTIDAD2]]</f>
        <v>0</v>
      </c>
    </row>
    <row r="73" spans="1:8" ht="15.75" customHeight="1">
      <c r="A73" s="1"/>
      <c r="B73" s="1"/>
      <c r="C73" s="1"/>
      <c r="D73" s="4"/>
      <c r="E73" s="5">
        <f>SUBTOTAL(109,'SAE 50'!$E$10:$E$72)</f>
        <v>62</v>
      </c>
      <c r="F73" s="5"/>
      <c r="G73" s="21"/>
    </row>
    <row r="74" spans="1:8" ht="15.75" customHeight="1"/>
    <row r="75" spans="1:8" ht="15.75" customHeight="1"/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</sheetData>
  <mergeCells count="4">
    <mergeCell ref="A1:B4"/>
    <mergeCell ref="C1:G4"/>
    <mergeCell ref="B8:C8"/>
    <mergeCell ref="D8:G8"/>
  </mergeCells>
  <pageMargins left="0.70866141732283472" right="0.70866141732283472" top="0.74803149606299213" bottom="0.74803149606299213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M105"/>
  <sheetViews>
    <sheetView topLeftCell="A6" workbookViewId="0">
      <selection activeCell="F19" sqref="F19"/>
    </sheetView>
  </sheetViews>
  <sheetFormatPr baseColWidth="10" defaultColWidth="12.54296875" defaultRowHeight="15" customHeight="1"/>
  <cols>
    <col min="1" max="1" width="10.453125" customWidth="1"/>
    <col min="2" max="2" width="11.1796875" bestFit="1" customWidth="1"/>
    <col min="3" max="3" width="16.7265625" customWidth="1"/>
    <col min="4" max="4" width="13.453125" customWidth="1"/>
    <col min="5" max="5" width="31.81640625" customWidth="1"/>
    <col min="6" max="6" width="14.54296875" customWidth="1"/>
    <col min="7" max="8" width="19.1796875" bestFit="1" customWidth="1"/>
    <col min="9" max="12" width="8" customWidth="1"/>
  </cols>
  <sheetData>
    <row r="1" spans="1:13" ht="26.15" customHeight="1">
      <c r="A1" s="39"/>
      <c r="B1" s="39"/>
      <c r="C1" s="40" t="s">
        <v>13</v>
      </c>
      <c r="D1" s="41"/>
      <c r="E1" s="41"/>
      <c r="F1" s="41"/>
      <c r="G1" s="42"/>
      <c r="H1" s="20" t="s">
        <v>14</v>
      </c>
    </row>
    <row r="2" spans="1:13" ht="21.75" customHeight="1">
      <c r="A2" s="39"/>
      <c r="B2" s="39"/>
      <c r="C2" s="43"/>
      <c r="D2" s="44"/>
      <c r="E2" s="44"/>
      <c r="F2" s="44"/>
      <c r="G2" s="45"/>
      <c r="H2" s="15" t="s">
        <v>10</v>
      </c>
    </row>
    <row r="3" spans="1:13" ht="21.75" customHeight="1">
      <c r="A3" s="39"/>
      <c r="B3" s="39"/>
      <c r="C3" s="43"/>
      <c r="D3" s="44"/>
      <c r="E3" s="44"/>
      <c r="F3" s="44"/>
      <c r="G3" s="45"/>
      <c r="H3" s="15" t="s">
        <v>11</v>
      </c>
    </row>
    <row r="4" spans="1:13" ht="21.75" customHeight="1">
      <c r="A4" s="39"/>
      <c r="B4" s="39"/>
      <c r="C4" s="46"/>
      <c r="D4" s="47"/>
      <c r="E4" s="47"/>
      <c r="F4" s="47"/>
      <c r="G4" s="48"/>
      <c r="H4" s="15" t="s">
        <v>12</v>
      </c>
    </row>
    <row r="5" spans="1:13" ht="21.75" customHeight="1">
      <c r="E5" s="11"/>
      <c r="G5" s="2"/>
      <c r="H5" s="2"/>
    </row>
    <row r="6" spans="1:13" ht="21.75" customHeight="1">
      <c r="E6" s="11"/>
      <c r="G6" s="2"/>
      <c r="H6" s="2"/>
      <c r="M6">
        <f>4*19</f>
        <v>76</v>
      </c>
    </row>
    <row r="7" spans="1:13" ht="21.75" customHeight="1">
      <c r="G7" s="2"/>
      <c r="H7" s="2"/>
      <c r="M7">
        <f>76+20+17</f>
        <v>113</v>
      </c>
    </row>
    <row r="8" spans="1:13" ht="15" customHeight="1">
      <c r="B8" s="37" t="s">
        <v>3</v>
      </c>
      <c r="C8" s="38"/>
      <c r="D8" s="37" t="s">
        <v>6</v>
      </c>
      <c r="E8" s="37"/>
      <c r="F8" s="37"/>
      <c r="G8" s="37"/>
    </row>
    <row r="9" spans="1:13" ht="14.5">
      <c r="A9" s="16" t="s">
        <v>0</v>
      </c>
      <c r="B9" s="7" t="s">
        <v>1</v>
      </c>
      <c r="C9" s="7" t="s">
        <v>2</v>
      </c>
      <c r="D9" s="7" t="s">
        <v>7</v>
      </c>
      <c r="E9" s="7" t="s">
        <v>5</v>
      </c>
      <c r="F9" s="7" t="s">
        <v>4</v>
      </c>
      <c r="G9" s="7" t="s">
        <v>8</v>
      </c>
      <c r="H9" s="7" t="s">
        <v>9</v>
      </c>
    </row>
    <row r="10" spans="1:13" ht="14.5">
      <c r="A10" s="3"/>
      <c r="B10" s="9" t="s">
        <v>9</v>
      </c>
      <c r="C10" s="1">
        <v>75</v>
      </c>
      <c r="D10" s="4"/>
      <c r="E10" s="5"/>
      <c r="F10" s="5"/>
      <c r="G10" s="1"/>
      <c r="H10" s="5">
        <f>Table_224[[#This Row],[CANTIDAD]]-Table_224[[#This Row],[CANTIDAD2]]</f>
        <v>75</v>
      </c>
    </row>
    <row r="11" spans="1:13" ht="14.5">
      <c r="A11" s="3">
        <v>46231</v>
      </c>
      <c r="B11" s="9" t="s">
        <v>15</v>
      </c>
      <c r="C11" s="1">
        <v>38</v>
      </c>
      <c r="D11" s="4"/>
      <c r="E11" s="5"/>
      <c r="F11" s="5"/>
      <c r="G11" s="1"/>
      <c r="H11" s="5">
        <f>H10+Table_224[[#This Row],[CANTIDAD]]</f>
        <v>113</v>
      </c>
    </row>
    <row r="12" spans="1:13" ht="14.5">
      <c r="A12" s="3">
        <v>46232</v>
      </c>
      <c r="B12" s="9"/>
      <c r="C12" s="1"/>
      <c r="D12" s="4" t="s">
        <v>18</v>
      </c>
      <c r="E12" s="5" t="s">
        <v>19</v>
      </c>
      <c r="F12" s="5">
        <v>2</v>
      </c>
      <c r="G12" s="1" t="s">
        <v>20</v>
      </c>
      <c r="H12" s="5">
        <f>H11-Table_224[[#This Row],[CANTIDAD2]]</f>
        <v>111</v>
      </c>
      <c r="J12" s="12"/>
    </row>
    <row r="13" spans="1:13" ht="14.5">
      <c r="A13" s="3">
        <v>46232</v>
      </c>
      <c r="B13" s="3"/>
      <c r="C13" s="1"/>
      <c r="D13" s="4" t="s">
        <v>18</v>
      </c>
      <c r="E13" s="5" t="s">
        <v>19</v>
      </c>
      <c r="F13" s="5">
        <v>2</v>
      </c>
      <c r="G13" s="1"/>
      <c r="H13" s="5">
        <f>H12-Table_224[[#This Row],[CANTIDAD2]]</f>
        <v>109</v>
      </c>
      <c r="J13" s="13"/>
    </row>
    <row r="14" spans="1:13" ht="14.5">
      <c r="A14" s="3">
        <v>46232</v>
      </c>
      <c r="B14" s="3"/>
      <c r="C14" s="1"/>
      <c r="D14" s="4" t="s">
        <v>18</v>
      </c>
      <c r="E14" s="5" t="s">
        <v>19</v>
      </c>
      <c r="F14" s="5">
        <v>2</v>
      </c>
      <c r="G14" s="1"/>
      <c r="H14" s="5">
        <f>H13-Table_224[[#This Row],[CANTIDAD2]]</f>
        <v>107</v>
      </c>
    </row>
    <row r="15" spans="1:13" ht="14.5">
      <c r="A15" s="3">
        <v>46265</v>
      </c>
      <c r="B15" s="3"/>
      <c r="C15" s="17"/>
      <c r="D15" s="4" t="s">
        <v>18</v>
      </c>
      <c r="E15" s="5" t="s">
        <v>19</v>
      </c>
      <c r="F15" s="5">
        <v>2</v>
      </c>
      <c r="G15" s="1"/>
      <c r="H15" s="5">
        <f>H14-Table_224[[#This Row],[CANTIDAD2]]</f>
        <v>105</v>
      </c>
      <c r="J15" s="11"/>
    </row>
    <row r="16" spans="1:13" ht="14.5">
      <c r="A16" s="3">
        <v>46274</v>
      </c>
      <c r="B16" s="3"/>
      <c r="C16" s="18"/>
      <c r="D16" s="4" t="s">
        <v>18</v>
      </c>
      <c r="E16" s="5" t="s">
        <v>19</v>
      </c>
      <c r="F16" s="5">
        <v>2</v>
      </c>
      <c r="G16" s="1"/>
      <c r="H16" s="5">
        <f>H15-Table_224[[#This Row],[CANTIDAD2]]</f>
        <v>103</v>
      </c>
    </row>
    <row r="17" spans="1:8" ht="15" customHeight="1">
      <c r="A17" s="3">
        <v>46290</v>
      </c>
      <c r="B17" s="3"/>
      <c r="C17" s="17"/>
      <c r="D17" s="4" t="s">
        <v>24</v>
      </c>
      <c r="E17" s="5" t="s">
        <v>56</v>
      </c>
      <c r="F17" s="5">
        <v>38</v>
      </c>
      <c r="G17" s="1"/>
      <c r="H17" s="5">
        <f>H16-Table_224[[#This Row],[CANTIDAD2]]</f>
        <v>65</v>
      </c>
    </row>
    <row r="18" spans="1:8" ht="14.5">
      <c r="A18" s="3">
        <v>46291</v>
      </c>
      <c r="B18" s="3"/>
      <c r="C18" s="17"/>
      <c r="D18" s="4" t="s">
        <v>24</v>
      </c>
      <c r="E18" s="5" t="s">
        <v>58</v>
      </c>
      <c r="F18" s="5">
        <v>19</v>
      </c>
      <c r="G18" s="1"/>
      <c r="H18" s="5">
        <f>H17-Table_224[[#This Row],[CANTIDAD2]]</f>
        <v>46</v>
      </c>
    </row>
    <row r="19" spans="1:8" ht="15" customHeight="1">
      <c r="A19" s="3"/>
      <c r="B19" s="3"/>
      <c r="C19" s="1"/>
      <c r="D19" s="4"/>
      <c r="E19" s="5"/>
      <c r="F19" s="5"/>
      <c r="G19" s="1"/>
      <c r="H19" s="5">
        <f>H18-Table_224[[#This Row],[CANTIDAD2]]</f>
        <v>46</v>
      </c>
    </row>
    <row r="20" spans="1:8" ht="14.5">
      <c r="A20" s="3"/>
      <c r="B20" s="3"/>
      <c r="C20" s="1"/>
      <c r="D20" s="4"/>
      <c r="E20" s="5"/>
      <c r="F20" s="5"/>
      <c r="G20" s="1"/>
      <c r="H20" s="5">
        <f>H19-Table_224[[#This Row],[CANTIDAD2]]</f>
        <v>46</v>
      </c>
    </row>
    <row r="21" spans="1:8" ht="14.5">
      <c r="A21" s="3"/>
      <c r="B21" s="3"/>
      <c r="C21" s="17"/>
      <c r="D21" s="4"/>
      <c r="E21" s="5"/>
      <c r="F21" s="5"/>
      <c r="G21" s="1"/>
      <c r="H21" s="5">
        <f>H20-Table_224[[#This Row],[CANTIDAD2]]</f>
        <v>46</v>
      </c>
    </row>
    <row r="22" spans="1:8" ht="14.5">
      <c r="A22" s="3"/>
      <c r="B22" s="3"/>
      <c r="C22" s="17"/>
      <c r="D22" s="4"/>
      <c r="E22" s="5"/>
      <c r="F22" s="5"/>
      <c r="G22" s="1"/>
      <c r="H22" s="5">
        <f>H21-Table_224[[#This Row],[CANTIDAD2]]</f>
        <v>46</v>
      </c>
    </row>
    <row r="23" spans="1:8" ht="14.5">
      <c r="A23" s="3"/>
      <c r="B23" s="3"/>
      <c r="C23" s="17"/>
      <c r="D23" s="4"/>
      <c r="E23" s="5"/>
      <c r="F23" s="5"/>
      <c r="G23" s="1"/>
      <c r="H23" s="5">
        <f>H22-Table_224[[#This Row],[CANTIDAD2]]</f>
        <v>46</v>
      </c>
    </row>
    <row r="24" spans="1:8" ht="14.5">
      <c r="A24" s="3"/>
      <c r="B24" s="3"/>
      <c r="C24" s="17"/>
      <c r="D24" s="4"/>
      <c r="E24" s="5"/>
      <c r="F24" s="5"/>
      <c r="G24" s="1"/>
      <c r="H24" s="5">
        <f>H23-Table_224[[#This Row],[CANTIDAD2]]</f>
        <v>46</v>
      </c>
    </row>
    <row r="25" spans="1:8" ht="14.5">
      <c r="A25" s="3"/>
      <c r="B25" s="3"/>
      <c r="C25" s="1"/>
      <c r="D25" s="4"/>
      <c r="E25" s="5"/>
      <c r="F25" s="5"/>
      <c r="G25" s="1"/>
      <c r="H25" s="5">
        <f>H24-Table_224[[#This Row],[CANTIDAD2]]</f>
        <v>46</v>
      </c>
    </row>
    <row r="26" spans="1:8" ht="15.75" customHeight="1">
      <c r="A26" s="3"/>
      <c r="B26" s="3"/>
      <c r="C26" s="17"/>
      <c r="D26" s="4"/>
      <c r="E26" s="5"/>
      <c r="F26" s="5"/>
      <c r="G26" s="1"/>
      <c r="H26" s="5">
        <f>H25-Table_224[[#This Row],[CANTIDAD2]]</f>
        <v>46</v>
      </c>
    </row>
    <row r="27" spans="1:8" ht="15.75" customHeight="1">
      <c r="A27" s="3"/>
      <c r="B27" s="3"/>
      <c r="C27" s="17"/>
      <c r="D27" s="4"/>
      <c r="E27" s="5"/>
      <c r="F27" s="5"/>
      <c r="G27" s="1"/>
      <c r="H27" s="5">
        <f>H26-Table_224[[#This Row],[CANTIDAD2]]</f>
        <v>46</v>
      </c>
    </row>
    <row r="28" spans="1:8" ht="15.75" customHeight="1">
      <c r="A28" s="3"/>
      <c r="B28" s="3"/>
      <c r="C28" s="17"/>
      <c r="D28" s="4"/>
      <c r="E28" s="5"/>
      <c r="F28" s="5"/>
      <c r="G28" s="1"/>
      <c r="H28" s="5">
        <f>H27-Table_224[[#This Row],[CANTIDAD2]]</f>
        <v>46</v>
      </c>
    </row>
    <row r="29" spans="1:8" ht="15.75" customHeight="1">
      <c r="A29" s="3"/>
      <c r="B29" s="3"/>
      <c r="C29" s="17"/>
      <c r="D29" s="6"/>
      <c r="E29" s="5"/>
      <c r="F29" s="5"/>
      <c r="G29" s="1"/>
      <c r="H29" s="5">
        <f>H28-Table_224[[#This Row],[CANTIDAD2]]</f>
        <v>46</v>
      </c>
    </row>
    <row r="30" spans="1:8" ht="15.75" customHeight="1">
      <c r="A30" s="3"/>
      <c r="B30" s="3"/>
      <c r="C30" s="17"/>
      <c r="D30" s="4"/>
      <c r="E30" s="5"/>
      <c r="F30" s="5"/>
      <c r="G30" s="1"/>
      <c r="H30" s="5">
        <f>H29-Table_224[[#This Row],[CANTIDAD2]]</f>
        <v>46</v>
      </c>
    </row>
    <row r="31" spans="1:8" ht="15.75" customHeight="1">
      <c r="A31" s="3"/>
      <c r="B31" s="3"/>
      <c r="C31" s="17"/>
      <c r="D31" s="4"/>
      <c r="E31" s="5"/>
      <c r="F31" s="5"/>
      <c r="G31" s="1"/>
      <c r="H31" s="5">
        <f>H30-Table_224[[#This Row],[CANTIDAD2]]</f>
        <v>46</v>
      </c>
    </row>
    <row r="32" spans="1:8" ht="15.75" customHeight="1">
      <c r="A32" s="3"/>
      <c r="B32" s="3"/>
      <c r="C32" s="17"/>
      <c r="D32" s="4"/>
      <c r="E32" s="5"/>
      <c r="F32" s="5"/>
      <c r="G32" s="1"/>
      <c r="H32" s="5">
        <f>H31-Table_224[[#This Row],[CANTIDAD2]]</f>
        <v>46</v>
      </c>
    </row>
    <row r="33" spans="1:8" ht="15.75" customHeight="1">
      <c r="A33" s="3"/>
      <c r="B33" s="3"/>
      <c r="C33" s="17"/>
      <c r="D33" s="4"/>
      <c r="E33" s="5"/>
      <c r="F33" s="5"/>
      <c r="G33" s="1"/>
      <c r="H33" s="5">
        <f>H32-Table_224[[#This Row],[CANTIDAD2]]</f>
        <v>46</v>
      </c>
    </row>
    <row r="34" spans="1:8" ht="15.75" customHeight="1">
      <c r="A34" s="3"/>
      <c r="B34" s="3"/>
      <c r="C34" s="19"/>
      <c r="D34" s="4"/>
      <c r="E34" s="5"/>
      <c r="F34" s="5"/>
      <c r="G34" s="1"/>
      <c r="H34" s="5">
        <f>H33-Table_224[[#This Row],[CANTIDAD2]]</f>
        <v>46</v>
      </c>
    </row>
    <row r="35" spans="1:8" ht="15.75" customHeight="1">
      <c r="A35" s="3"/>
      <c r="B35" s="3"/>
      <c r="C35" s="17"/>
      <c r="D35" s="4"/>
      <c r="E35" s="5"/>
      <c r="F35" s="5"/>
      <c r="G35" s="1"/>
      <c r="H35" s="5">
        <f>H34-Table_224[[#This Row],[CANTIDAD2]]</f>
        <v>46</v>
      </c>
    </row>
    <row r="36" spans="1:8" ht="15.75" customHeight="1">
      <c r="A36" s="3"/>
      <c r="B36" s="3"/>
      <c r="C36" s="17"/>
      <c r="D36" s="4"/>
      <c r="E36" s="5"/>
      <c r="F36" s="5"/>
      <c r="G36" s="1"/>
      <c r="H36" s="5">
        <f>H35-Table_224[[#This Row],[CANTIDAD2]]</f>
        <v>46</v>
      </c>
    </row>
    <row r="37" spans="1:8" ht="15.75" customHeight="1">
      <c r="A37" s="3"/>
      <c r="B37" s="3"/>
      <c r="C37" s="17"/>
      <c r="D37" s="4"/>
      <c r="E37" s="5"/>
      <c r="F37" s="5"/>
      <c r="G37" s="1"/>
      <c r="H37" s="5">
        <f>H36-Table_224[[#This Row],[CANTIDAD2]]</f>
        <v>46</v>
      </c>
    </row>
    <row r="38" spans="1:8" ht="15.75" customHeight="1">
      <c r="A38" s="3"/>
      <c r="B38" s="3"/>
      <c r="C38" s="4"/>
      <c r="D38" s="4"/>
      <c r="E38" s="5"/>
      <c r="F38" s="5"/>
      <c r="G38" s="1"/>
      <c r="H38" s="5">
        <f>H37-Table_224[[#This Row],[CANTIDAD2]]</f>
        <v>46</v>
      </c>
    </row>
    <row r="39" spans="1:8" ht="15.75" customHeight="1">
      <c r="A39" s="3"/>
      <c r="B39" s="3"/>
      <c r="C39" s="17"/>
      <c r="D39" s="4"/>
      <c r="E39" s="5"/>
      <c r="F39" s="5"/>
      <c r="G39" s="1"/>
      <c r="H39" s="5">
        <f>H38-Table_224[[#This Row],[CANTIDAD2]]</f>
        <v>46</v>
      </c>
    </row>
    <row r="40" spans="1:8" ht="15.75" customHeight="1">
      <c r="A40" s="3"/>
      <c r="B40" s="3"/>
      <c r="C40" s="17"/>
      <c r="D40" s="4"/>
      <c r="E40" s="5"/>
      <c r="F40" s="5"/>
      <c r="G40" s="1"/>
      <c r="H40" s="5">
        <f>H39-Table_224[[#This Row],[CANTIDAD2]]</f>
        <v>46</v>
      </c>
    </row>
    <row r="41" spans="1:8" ht="15.75" customHeight="1">
      <c r="A41" s="3"/>
      <c r="B41" s="3"/>
      <c r="C41" s="17"/>
      <c r="D41" s="4"/>
      <c r="E41" s="5"/>
      <c r="F41" s="5"/>
      <c r="G41" s="1"/>
      <c r="H41" s="5">
        <f>H40-Table_224[[#This Row],[CANTIDAD2]]</f>
        <v>46</v>
      </c>
    </row>
    <row r="42" spans="1:8" ht="15.75" customHeight="1">
      <c r="A42" s="3"/>
      <c r="B42" s="3"/>
      <c r="C42" s="1"/>
      <c r="D42" s="4"/>
      <c r="E42" s="5"/>
      <c r="F42" s="5"/>
      <c r="G42" s="1"/>
      <c r="H42" s="5">
        <f>H41-Table_224[[#This Row],[CANTIDAD2]]</f>
        <v>46</v>
      </c>
    </row>
    <row r="43" spans="1:8" ht="15.75" customHeight="1">
      <c r="A43" s="3"/>
      <c r="B43" s="3"/>
      <c r="C43" s="1"/>
      <c r="D43" s="4"/>
      <c r="E43" s="5"/>
      <c r="F43" s="5">
        <f>F42-'GEAR 85W-140'!$E43+'GEAR 85W-140'!$D43</f>
        <v>0</v>
      </c>
      <c r="G43" s="1"/>
      <c r="H43" s="5">
        <f>H42-Table_224[[#This Row],[CANTIDAD2]]</f>
        <v>46</v>
      </c>
    </row>
    <row r="44" spans="1:8" ht="15.75" customHeight="1">
      <c r="A44" s="3"/>
      <c r="B44" s="3"/>
      <c r="C44" s="1"/>
      <c r="D44" s="4"/>
      <c r="E44" s="5"/>
      <c r="F44" s="5"/>
      <c r="G44" s="1"/>
      <c r="H44" s="5">
        <f>H43-Table_224[[#This Row],[CANTIDAD2]]</f>
        <v>46</v>
      </c>
    </row>
    <row r="45" spans="1:8" ht="15.75" customHeight="1">
      <c r="A45" s="3"/>
      <c r="B45" s="3"/>
      <c r="C45" s="17"/>
      <c r="D45" s="4"/>
      <c r="E45" s="5"/>
      <c r="F45" s="5"/>
      <c r="G45" s="1"/>
      <c r="H45" s="5">
        <f>H44-Table_224[[#This Row],[CANTIDAD2]]</f>
        <v>46</v>
      </c>
    </row>
    <row r="46" spans="1:8" ht="15.75" customHeight="1">
      <c r="A46" s="3"/>
      <c r="B46" s="3"/>
      <c r="C46" s="17"/>
      <c r="D46" s="4"/>
      <c r="E46" s="5"/>
      <c r="F46" s="5"/>
      <c r="G46" s="1"/>
      <c r="H46" s="5">
        <f>H45-Table_224[[#This Row],[CANTIDAD2]]</f>
        <v>46</v>
      </c>
    </row>
    <row r="47" spans="1:8" ht="15.75" customHeight="1">
      <c r="A47" s="3"/>
      <c r="B47" s="3"/>
      <c r="C47" s="1"/>
      <c r="D47" s="4"/>
      <c r="E47" s="5"/>
      <c r="F47" s="5"/>
      <c r="G47" s="1"/>
      <c r="H47" s="5">
        <f>H46-Table_224[[#This Row],[CANTIDAD2]]</f>
        <v>46</v>
      </c>
    </row>
    <row r="48" spans="1:8" ht="15.75" customHeight="1">
      <c r="A48" s="3"/>
      <c r="B48" s="3"/>
      <c r="C48" s="17"/>
      <c r="D48" s="4"/>
      <c r="E48" s="5"/>
      <c r="F48" s="5"/>
      <c r="G48" s="1"/>
      <c r="H48" s="5">
        <f>H47-Table_224[[#This Row],[CANTIDAD2]]</f>
        <v>46</v>
      </c>
    </row>
    <row r="49" spans="1:8" ht="15.75" customHeight="1">
      <c r="A49" s="3"/>
      <c r="B49" s="3"/>
      <c r="C49" s="1"/>
      <c r="D49" s="4"/>
      <c r="E49" s="5"/>
      <c r="F49" s="5"/>
      <c r="G49" s="1"/>
      <c r="H49" s="5">
        <f>H48-Table_224[[#This Row],[CANTIDAD2]]</f>
        <v>46</v>
      </c>
    </row>
    <row r="50" spans="1:8" ht="15.75" customHeight="1">
      <c r="A50" s="3"/>
      <c r="B50" s="3"/>
      <c r="C50" s="17"/>
      <c r="D50" s="4"/>
      <c r="E50" s="5"/>
      <c r="F50" s="5"/>
      <c r="G50" s="1"/>
      <c r="H50" s="5">
        <f>H49-Table_224[[#This Row],[CANTIDAD2]]</f>
        <v>46</v>
      </c>
    </row>
    <row r="51" spans="1:8" ht="15.75" customHeight="1">
      <c r="A51" s="3"/>
      <c r="B51" s="3"/>
      <c r="C51" s="1"/>
      <c r="D51" s="4"/>
      <c r="E51" s="5"/>
      <c r="F51" s="5"/>
      <c r="G51" s="1"/>
      <c r="H51" s="5">
        <f>H50-Table_224[[#This Row],[CANTIDAD2]]</f>
        <v>46</v>
      </c>
    </row>
    <row r="52" spans="1:8" ht="15.75" customHeight="1">
      <c r="A52" s="3"/>
      <c r="B52" s="3"/>
      <c r="C52" s="1"/>
      <c r="D52" s="4"/>
      <c r="E52" s="5"/>
      <c r="F52" s="5"/>
      <c r="G52" s="1"/>
      <c r="H52" s="5">
        <f>H51-Table_224[[#This Row],[CANTIDAD2]]</f>
        <v>46</v>
      </c>
    </row>
    <row r="53" spans="1:8" ht="15.75" customHeight="1">
      <c r="A53" s="3"/>
      <c r="B53" s="3"/>
      <c r="C53" s="1"/>
      <c r="D53" s="4"/>
      <c r="E53" s="5"/>
      <c r="F53" s="5"/>
      <c r="G53" s="1"/>
      <c r="H53" s="5">
        <f>H52-Table_224[[#This Row],[CANTIDAD2]]</f>
        <v>46</v>
      </c>
    </row>
    <row r="54" spans="1:8" ht="15.75" customHeight="1">
      <c r="A54" s="3"/>
      <c r="B54" s="3"/>
      <c r="C54" s="1"/>
      <c r="D54" s="4"/>
      <c r="E54" s="5"/>
      <c r="F54" s="5"/>
      <c r="G54" s="1"/>
      <c r="H54" s="5">
        <f>H53-Table_224[[#This Row],[CANTIDAD2]]</f>
        <v>46</v>
      </c>
    </row>
    <row r="55" spans="1:8" ht="15.75" customHeight="1">
      <c r="A55" s="3"/>
      <c r="B55" s="3"/>
      <c r="C55" s="1"/>
      <c r="D55" s="4"/>
      <c r="E55" s="5"/>
      <c r="F55" s="5"/>
      <c r="G55" s="1"/>
      <c r="H55" s="5">
        <f>H54-Table_224[[#This Row],[CANTIDAD2]]</f>
        <v>46</v>
      </c>
    </row>
    <row r="56" spans="1:8" ht="15.75" customHeight="1">
      <c r="A56" s="3"/>
      <c r="B56" s="3"/>
      <c r="C56" s="1"/>
      <c r="D56" s="4"/>
      <c r="E56" s="5"/>
      <c r="F56" s="5"/>
      <c r="G56" s="1"/>
      <c r="H56" s="5">
        <f>H55-Table_224[[#This Row],[CANTIDAD2]]</f>
        <v>46</v>
      </c>
    </row>
    <row r="57" spans="1:8" ht="15.75" customHeight="1">
      <c r="A57" s="3"/>
      <c r="B57" s="3"/>
      <c r="C57" s="1"/>
      <c r="D57" s="4"/>
      <c r="E57" s="5"/>
      <c r="F57" s="5"/>
      <c r="G57" s="1"/>
      <c r="H57" s="5">
        <f>H56-Table_224[[#This Row],[CANTIDAD2]]</f>
        <v>46</v>
      </c>
    </row>
    <row r="58" spans="1:8" ht="15.75" customHeight="1">
      <c r="A58" s="3"/>
      <c r="B58" s="3"/>
      <c r="C58" s="17"/>
      <c r="D58" s="4"/>
      <c r="E58" s="5"/>
      <c r="F58" s="5"/>
      <c r="G58" s="1"/>
      <c r="H58" s="5">
        <f>H57-Table_224[[#This Row],[CANTIDAD2]]</f>
        <v>46</v>
      </c>
    </row>
    <row r="59" spans="1:8" ht="15.75" customHeight="1">
      <c r="A59" s="3"/>
      <c r="B59" s="3"/>
      <c r="C59" s="1"/>
      <c r="D59" s="4"/>
      <c r="E59" s="5"/>
      <c r="F59" s="5"/>
      <c r="G59" s="1"/>
      <c r="H59" s="5">
        <f>H58-Table_224[[#This Row],[CANTIDAD2]]</f>
        <v>46</v>
      </c>
    </row>
    <row r="60" spans="1:8" ht="15.75" customHeight="1">
      <c r="A60" s="1"/>
      <c r="B60" s="1"/>
      <c r="C60" s="1"/>
      <c r="D60" s="4"/>
      <c r="E60" s="5"/>
      <c r="F60" s="5"/>
      <c r="G60" s="1"/>
      <c r="H60" s="5">
        <f>H59-Table_224[[#This Row],[CANTIDAD2]]</f>
        <v>46</v>
      </c>
    </row>
    <row r="61" spans="1:8" ht="15.75" customHeight="1">
      <c r="A61" s="1"/>
      <c r="B61" s="1"/>
      <c r="C61" s="1"/>
      <c r="D61" s="4"/>
      <c r="E61" s="5"/>
      <c r="F61" s="5"/>
      <c r="G61" s="1"/>
      <c r="H61" s="5">
        <f>H60-Table_224[[#This Row],[CANTIDAD2]]</f>
        <v>46</v>
      </c>
    </row>
    <row r="62" spans="1:8" ht="15.75" customHeight="1">
      <c r="A62" s="1"/>
      <c r="B62" s="1"/>
      <c r="C62" s="1"/>
      <c r="D62" s="4"/>
      <c r="E62" s="5"/>
      <c r="F62" s="5"/>
      <c r="G62" s="1"/>
      <c r="H62" s="5">
        <f>H61-Table_224[[#This Row],[CANTIDAD2]]</f>
        <v>46</v>
      </c>
    </row>
    <row r="63" spans="1:8" ht="15.75" customHeight="1">
      <c r="A63" s="1"/>
      <c r="B63" s="1"/>
      <c r="C63" s="1"/>
      <c r="D63" s="4"/>
      <c r="E63" s="5"/>
      <c r="F63" s="5"/>
      <c r="G63" s="1"/>
      <c r="H63" s="5">
        <f>H62-Table_224[[#This Row],[CANTIDAD2]]</f>
        <v>46</v>
      </c>
    </row>
    <row r="64" spans="1:8" ht="15.75" customHeight="1">
      <c r="A64" s="1"/>
      <c r="B64" s="1"/>
      <c r="C64" s="1"/>
      <c r="D64" s="4"/>
      <c r="E64" s="5"/>
      <c r="F64" s="5"/>
      <c r="G64" s="1"/>
      <c r="H64" s="5">
        <f>H63-Table_224[[#This Row],[CANTIDAD2]]</f>
        <v>46</v>
      </c>
    </row>
    <row r="65" spans="1:8" ht="15.75" customHeight="1">
      <c r="A65" s="1"/>
      <c r="B65" s="1"/>
      <c r="C65" s="1"/>
      <c r="D65" s="4"/>
      <c r="E65" s="5"/>
      <c r="F65" s="5"/>
      <c r="G65" s="1"/>
      <c r="H65" s="5">
        <f>H64-Table_224[[#This Row],[CANTIDAD2]]</f>
        <v>46</v>
      </c>
    </row>
    <row r="66" spans="1:8" ht="15.75" customHeight="1">
      <c r="A66" s="1"/>
      <c r="B66" s="1"/>
      <c r="C66" s="1"/>
      <c r="D66" s="4"/>
      <c r="E66" s="5"/>
      <c r="F66" s="5"/>
      <c r="G66" s="1"/>
      <c r="H66" s="5">
        <f>H65-Table_224[[#This Row],[CANTIDAD2]]</f>
        <v>46</v>
      </c>
    </row>
    <row r="67" spans="1:8" ht="15.75" customHeight="1">
      <c r="A67" s="1"/>
      <c r="B67" s="1"/>
      <c r="C67" s="1"/>
      <c r="D67" s="4"/>
      <c r="E67" s="5"/>
      <c r="F67" s="5"/>
      <c r="G67" s="1"/>
      <c r="H67" s="5">
        <f>H66-Table_224[[#This Row],[CANTIDAD2]]</f>
        <v>46</v>
      </c>
    </row>
    <row r="68" spans="1:8" ht="15.75" customHeight="1">
      <c r="A68" s="1"/>
      <c r="B68" s="1"/>
      <c r="C68" s="1"/>
      <c r="D68" s="4"/>
      <c r="E68" s="5"/>
      <c r="F68" s="5"/>
      <c r="G68" s="1"/>
      <c r="H68" s="5">
        <f>H67-Table_224[[#This Row],[CANTIDAD2]]</f>
        <v>46</v>
      </c>
    </row>
    <row r="69" spans="1:8" ht="15.75" customHeight="1">
      <c r="A69" s="1"/>
      <c r="B69" s="1"/>
      <c r="C69" s="1"/>
      <c r="D69" s="4"/>
      <c r="E69" s="5"/>
      <c r="F69" s="5"/>
      <c r="G69" s="1"/>
      <c r="H69" s="5">
        <f>H68-Table_224[[#This Row],[CANTIDAD2]]</f>
        <v>46</v>
      </c>
    </row>
    <row r="70" spans="1:8" ht="15.75" customHeight="1">
      <c r="A70" s="1"/>
      <c r="B70" s="1"/>
      <c r="C70" s="1"/>
      <c r="D70" s="4"/>
      <c r="E70" s="5"/>
      <c r="F70" s="5"/>
      <c r="G70" s="1"/>
      <c r="H70" s="5">
        <f>H69-Table_224[[#This Row],[CANTIDAD2]]</f>
        <v>46</v>
      </c>
    </row>
    <row r="71" spans="1:8" ht="15.75" customHeight="1">
      <c r="A71" s="1"/>
      <c r="B71" s="1"/>
      <c r="C71" s="1"/>
      <c r="D71" s="4"/>
      <c r="E71" s="5">
        <f>SUBTOTAL(109,'GEAR 85W-140'!$E$10:$E$70)</f>
        <v>0</v>
      </c>
      <c r="F71" s="5"/>
      <c r="G71" s="21"/>
    </row>
    <row r="72" spans="1:8" ht="15.75" customHeight="1"/>
    <row r="73" spans="1:8" ht="15.75" customHeight="1"/>
    <row r="74" spans="1:8" ht="15.75" customHeight="1"/>
    <row r="75" spans="1:8" ht="15.75" customHeight="1"/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</sheetData>
  <mergeCells count="4">
    <mergeCell ref="A1:B4"/>
    <mergeCell ref="C1:G4"/>
    <mergeCell ref="B8:C8"/>
    <mergeCell ref="D8:G8"/>
  </mergeCells>
  <pageMargins left="0.70866141732283472" right="0.70866141732283472" top="0.74803149606299213" bottom="0.74803149606299213" header="0" footer="0"/>
  <pageSetup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J106"/>
  <sheetViews>
    <sheetView tabSelected="1" workbookViewId="0">
      <selection activeCell="F14" sqref="F14"/>
    </sheetView>
  </sheetViews>
  <sheetFormatPr baseColWidth="10" defaultColWidth="12.54296875" defaultRowHeight="15" customHeight="1"/>
  <cols>
    <col min="1" max="1" width="10.453125" customWidth="1"/>
    <col min="2" max="2" width="11.1796875" bestFit="1" customWidth="1"/>
    <col min="3" max="3" width="16.7265625" customWidth="1"/>
    <col min="4" max="4" width="13.453125" customWidth="1"/>
    <col min="5" max="5" width="31.81640625" customWidth="1"/>
    <col min="6" max="6" width="14.54296875" customWidth="1"/>
    <col min="7" max="8" width="19.1796875" bestFit="1" customWidth="1"/>
    <col min="9" max="12" width="8" customWidth="1"/>
  </cols>
  <sheetData>
    <row r="1" spans="1:10" ht="26.15" customHeight="1">
      <c r="A1" s="39"/>
      <c r="B1" s="39"/>
      <c r="C1" s="40" t="s">
        <v>13</v>
      </c>
      <c r="D1" s="41"/>
      <c r="E1" s="41"/>
      <c r="F1" s="41"/>
      <c r="G1" s="42"/>
      <c r="H1" s="20" t="s">
        <v>14</v>
      </c>
    </row>
    <row r="2" spans="1:10" ht="21.75" customHeight="1">
      <c r="A2" s="39"/>
      <c r="B2" s="39"/>
      <c r="C2" s="43"/>
      <c r="D2" s="44"/>
      <c r="E2" s="44"/>
      <c r="F2" s="44"/>
      <c r="G2" s="45"/>
      <c r="H2" s="15" t="s">
        <v>10</v>
      </c>
    </row>
    <row r="3" spans="1:10" ht="21.75" customHeight="1">
      <c r="A3" s="39"/>
      <c r="B3" s="39"/>
      <c r="C3" s="43"/>
      <c r="D3" s="44"/>
      <c r="E3" s="44"/>
      <c r="F3" s="44"/>
      <c r="G3" s="45"/>
      <c r="H3" s="15" t="s">
        <v>11</v>
      </c>
    </row>
    <row r="4" spans="1:10" ht="21.75" customHeight="1">
      <c r="A4" s="39"/>
      <c r="B4" s="39"/>
      <c r="C4" s="46"/>
      <c r="D4" s="47"/>
      <c r="E4" s="47"/>
      <c r="F4" s="47"/>
      <c r="G4" s="48"/>
      <c r="H4" s="15" t="s">
        <v>12</v>
      </c>
    </row>
    <row r="5" spans="1:10" ht="21.75" customHeight="1">
      <c r="E5" s="11"/>
      <c r="G5" s="2"/>
      <c r="H5" s="2"/>
    </row>
    <row r="6" spans="1:10" ht="21.75" customHeight="1">
      <c r="E6" s="11"/>
      <c r="G6" s="2"/>
      <c r="H6" s="2"/>
    </row>
    <row r="7" spans="1:10" ht="21.75" customHeight="1">
      <c r="G7" s="2"/>
      <c r="H7" s="2"/>
    </row>
    <row r="8" spans="1:10" ht="15" customHeight="1">
      <c r="B8" s="37" t="s">
        <v>3</v>
      </c>
      <c r="C8" s="38"/>
      <c r="D8" s="37" t="s">
        <v>6</v>
      </c>
      <c r="E8" s="37"/>
      <c r="F8" s="37"/>
      <c r="G8" s="37"/>
    </row>
    <row r="9" spans="1:10" ht="14.5">
      <c r="A9" s="16" t="s">
        <v>0</v>
      </c>
      <c r="B9" s="7" t="s">
        <v>1</v>
      </c>
      <c r="C9" s="7" t="s">
        <v>2</v>
      </c>
      <c r="D9" s="7" t="s">
        <v>7</v>
      </c>
      <c r="E9" s="7" t="s">
        <v>5</v>
      </c>
      <c r="F9" s="7" t="s">
        <v>4</v>
      </c>
      <c r="G9" s="7" t="s">
        <v>8</v>
      </c>
      <c r="H9" s="7" t="s">
        <v>9</v>
      </c>
    </row>
    <row r="10" spans="1:10" ht="14.5">
      <c r="A10" s="22"/>
      <c r="B10" s="24" t="s">
        <v>9</v>
      </c>
      <c r="C10" s="23">
        <v>30</v>
      </c>
      <c r="D10" s="23"/>
      <c r="E10" s="23"/>
      <c r="F10" s="23"/>
      <c r="G10" s="23"/>
      <c r="H10" s="25">
        <f>Table_2245[[#This Row],[CANTIDAD]]-Table_2245[[#This Row],[CANTIDAD2]]</f>
        <v>30</v>
      </c>
    </row>
    <row r="11" spans="1:10" ht="14.5">
      <c r="A11" s="3">
        <v>46231</v>
      </c>
      <c r="B11" s="9" t="s">
        <v>15</v>
      </c>
      <c r="C11" s="1">
        <v>15</v>
      </c>
      <c r="D11" s="4"/>
      <c r="E11" s="5"/>
      <c r="F11" s="5"/>
      <c r="G11" s="1"/>
      <c r="H11" s="5">
        <f>H10+Table_2245[[#This Row],[CANTIDAD]]</f>
        <v>45</v>
      </c>
    </row>
    <row r="12" spans="1:10" ht="14.5">
      <c r="A12" s="3">
        <v>46275</v>
      </c>
      <c r="B12" s="3"/>
      <c r="C12" s="17"/>
      <c r="D12" s="8"/>
      <c r="E12" s="10" t="s">
        <v>51</v>
      </c>
      <c r="F12" s="5">
        <v>15</v>
      </c>
      <c r="G12" s="1"/>
      <c r="H12" s="5">
        <f>H11-Table_2245[[#This Row],[CANTIDAD2]]</f>
        <v>30</v>
      </c>
    </row>
    <row r="13" spans="1:10" ht="14.5">
      <c r="A13" s="3">
        <v>46279</v>
      </c>
      <c r="B13" s="9"/>
      <c r="C13" s="1"/>
      <c r="D13" s="8"/>
      <c r="E13" s="10" t="s">
        <v>24</v>
      </c>
      <c r="F13" s="5">
        <v>15</v>
      </c>
      <c r="G13" s="1"/>
      <c r="H13" s="5">
        <f>H12-Table_2245[[#This Row],[CANTIDAD2]]</f>
        <v>15</v>
      </c>
      <c r="J13" s="12"/>
    </row>
    <row r="14" spans="1:10" ht="14.5">
      <c r="A14" s="3"/>
      <c r="B14" s="3"/>
      <c r="C14" s="1"/>
      <c r="D14" s="8"/>
      <c r="E14" s="10"/>
      <c r="F14" s="5"/>
      <c r="G14" s="1"/>
      <c r="H14" s="5">
        <f>H13-Table_2245[[#This Row],[CANTIDAD2]]</f>
        <v>15</v>
      </c>
      <c r="J14" s="13"/>
    </row>
    <row r="15" spans="1:10" ht="14.5">
      <c r="A15" s="3"/>
      <c r="B15" s="3"/>
      <c r="C15" s="1"/>
      <c r="D15" s="4"/>
      <c r="E15" s="5"/>
      <c r="F15" s="5"/>
      <c r="G15" s="1"/>
      <c r="H15" s="5">
        <f>H14-Table_2245[[#This Row],[CANTIDAD2]]</f>
        <v>15</v>
      </c>
    </row>
    <row r="16" spans="1:10" ht="14.5">
      <c r="A16" s="3"/>
      <c r="B16" s="3"/>
      <c r="C16" s="17"/>
      <c r="D16" s="4"/>
      <c r="E16" s="5"/>
      <c r="F16" s="5"/>
      <c r="G16" s="1"/>
      <c r="H16" s="5">
        <f>H15-Table_2245[[#This Row],[CANTIDAD2]]</f>
        <v>15</v>
      </c>
      <c r="J16" s="11"/>
    </row>
    <row r="17" spans="1:8" ht="14.5">
      <c r="A17" s="3"/>
      <c r="B17" s="3"/>
      <c r="C17" s="18"/>
      <c r="D17" s="4"/>
      <c r="E17" s="5"/>
      <c r="F17" s="5"/>
      <c r="G17" s="1"/>
      <c r="H17" s="5">
        <f>H16-Table_2245[[#This Row],[CANTIDAD2]]</f>
        <v>15</v>
      </c>
    </row>
    <row r="18" spans="1:8" ht="15" customHeight="1">
      <c r="A18" s="3"/>
      <c r="B18" s="3"/>
      <c r="C18" s="17"/>
      <c r="D18" s="4"/>
      <c r="E18" s="5"/>
      <c r="F18" s="5"/>
      <c r="G18" s="1"/>
      <c r="H18" s="5">
        <f>H17-Table_2245[[#This Row],[CANTIDAD2]]</f>
        <v>15</v>
      </c>
    </row>
    <row r="19" spans="1:8" ht="14.5">
      <c r="A19" s="3"/>
      <c r="B19" s="3"/>
      <c r="C19" s="17"/>
      <c r="D19" s="4"/>
      <c r="E19" s="5"/>
      <c r="F19" s="5"/>
      <c r="G19" s="1"/>
      <c r="H19" s="5">
        <f>H18-Table_2245[[#This Row],[CANTIDAD2]]</f>
        <v>15</v>
      </c>
    </row>
    <row r="20" spans="1:8" ht="15" customHeight="1">
      <c r="A20" s="3"/>
      <c r="B20" s="3"/>
      <c r="C20" s="1"/>
      <c r="D20" s="4"/>
      <c r="E20" s="5"/>
      <c r="F20" s="5"/>
      <c r="G20" s="1"/>
      <c r="H20" s="5">
        <f>H19-Table_2245[[#This Row],[CANTIDAD2]]</f>
        <v>15</v>
      </c>
    </row>
    <row r="21" spans="1:8" ht="14.5">
      <c r="A21" s="3"/>
      <c r="B21" s="3"/>
      <c r="C21" s="1"/>
      <c r="D21" s="4"/>
      <c r="E21" s="5"/>
      <c r="F21" s="5"/>
      <c r="G21" s="1"/>
      <c r="H21" s="5">
        <f>H20-Table_2245[[#This Row],[CANTIDAD2]]</f>
        <v>15</v>
      </c>
    </row>
    <row r="22" spans="1:8" ht="14.5">
      <c r="A22" s="3"/>
      <c r="B22" s="3"/>
      <c r="C22" s="17"/>
      <c r="D22" s="4"/>
      <c r="E22" s="5"/>
      <c r="F22" s="5"/>
      <c r="G22" s="1"/>
      <c r="H22" s="5">
        <f>H21-Table_2245[[#This Row],[CANTIDAD2]]</f>
        <v>15</v>
      </c>
    </row>
    <row r="23" spans="1:8" ht="14.5">
      <c r="A23" s="3"/>
      <c r="B23" s="3"/>
      <c r="C23" s="17"/>
      <c r="D23" s="4"/>
      <c r="E23" s="5"/>
      <c r="F23" s="5"/>
      <c r="G23" s="1"/>
      <c r="H23" s="5">
        <f>H22-Table_2245[[#This Row],[CANTIDAD2]]</f>
        <v>15</v>
      </c>
    </row>
    <row r="24" spans="1:8" ht="14.5">
      <c r="A24" s="3"/>
      <c r="B24" s="3"/>
      <c r="C24" s="17"/>
      <c r="D24" s="4"/>
      <c r="E24" s="5"/>
      <c r="F24" s="5"/>
      <c r="G24" s="1"/>
      <c r="H24" s="5">
        <f>H23-Table_2245[[#This Row],[CANTIDAD2]]</f>
        <v>15</v>
      </c>
    </row>
    <row r="25" spans="1:8" ht="14.5">
      <c r="A25" s="3"/>
      <c r="B25" s="3"/>
      <c r="C25" s="17"/>
      <c r="D25" s="4"/>
      <c r="E25" s="5"/>
      <c r="F25" s="5"/>
      <c r="G25" s="1"/>
      <c r="H25" s="5">
        <f>H24-Table_2245[[#This Row],[CANTIDAD2]]</f>
        <v>15</v>
      </c>
    </row>
    <row r="26" spans="1:8" ht="14.5">
      <c r="A26" s="3"/>
      <c r="B26" s="3"/>
      <c r="C26" s="1"/>
      <c r="D26" s="4"/>
      <c r="E26" s="5"/>
      <c r="F26" s="5"/>
      <c r="G26" s="1"/>
      <c r="H26" s="5">
        <f>H25-Table_2245[[#This Row],[CANTIDAD2]]</f>
        <v>15</v>
      </c>
    </row>
    <row r="27" spans="1:8" ht="15.75" customHeight="1">
      <c r="A27" s="3"/>
      <c r="B27" s="3"/>
      <c r="C27" s="17"/>
      <c r="D27" s="4"/>
      <c r="E27" s="5"/>
      <c r="F27" s="5"/>
      <c r="G27" s="1"/>
      <c r="H27" s="5">
        <f>H26-Table_2245[[#This Row],[CANTIDAD2]]</f>
        <v>15</v>
      </c>
    </row>
    <row r="28" spans="1:8" ht="15.75" customHeight="1">
      <c r="A28" s="3"/>
      <c r="B28" s="3"/>
      <c r="C28" s="17"/>
      <c r="D28" s="4"/>
      <c r="E28" s="5"/>
      <c r="F28" s="5"/>
      <c r="G28" s="1"/>
      <c r="H28" s="5">
        <f>H27-Table_2245[[#This Row],[CANTIDAD2]]</f>
        <v>15</v>
      </c>
    </row>
    <row r="29" spans="1:8" ht="15.75" customHeight="1">
      <c r="A29" s="3"/>
      <c r="B29" s="3"/>
      <c r="C29" s="17"/>
      <c r="D29" s="4"/>
      <c r="E29" s="5"/>
      <c r="F29" s="5"/>
      <c r="G29" s="1"/>
      <c r="H29" s="5">
        <f>H28-Table_2245[[#This Row],[CANTIDAD2]]</f>
        <v>15</v>
      </c>
    </row>
    <row r="30" spans="1:8" ht="15.75" customHeight="1">
      <c r="A30" s="3"/>
      <c r="B30" s="3"/>
      <c r="C30" s="17"/>
      <c r="D30" s="6"/>
      <c r="E30" s="5"/>
      <c r="F30" s="5"/>
      <c r="G30" s="1"/>
      <c r="H30" s="5">
        <f>H29-Table_2245[[#This Row],[CANTIDAD2]]</f>
        <v>15</v>
      </c>
    </row>
    <row r="31" spans="1:8" ht="15.75" customHeight="1">
      <c r="A31" s="3"/>
      <c r="B31" s="3"/>
      <c r="C31" s="17"/>
      <c r="D31" s="4"/>
      <c r="E31" s="5"/>
      <c r="F31" s="5"/>
      <c r="G31" s="1"/>
      <c r="H31" s="5">
        <f>H30-Table_2245[[#This Row],[CANTIDAD2]]</f>
        <v>15</v>
      </c>
    </row>
    <row r="32" spans="1:8" ht="15.75" customHeight="1">
      <c r="A32" s="3"/>
      <c r="B32" s="3"/>
      <c r="C32" s="17"/>
      <c r="D32" s="4"/>
      <c r="E32" s="5"/>
      <c r="F32" s="5"/>
      <c r="G32" s="1"/>
      <c r="H32" s="5">
        <f>H31-Table_2245[[#This Row],[CANTIDAD2]]</f>
        <v>15</v>
      </c>
    </row>
    <row r="33" spans="1:8" ht="15.75" customHeight="1">
      <c r="A33" s="3"/>
      <c r="B33" s="3"/>
      <c r="C33" s="17"/>
      <c r="D33" s="4"/>
      <c r="E33" s="5"/>
      <c r="F33" s="5"/>
      <c r="G33" s="1"/>
      <c r="H33" s="5">
        <f>H32-Table_2245[[#This Row],[CANTIDAD2]]</f>
        <v>15</v>
      </c>
    </row>
    <row r="34" spans="1:8" ht="15.75" customHeight="1">
      <c r="A34" s="3"/>
      <c r="B34" s="3"/>
      <c r="C34" s="17"/>
      <c r="D34" s="4"/>
      <c r="E34" s="5"/>
      <c r="F34" s="5"/>
      <c r="G34" s="1"/>
      <c r="H34" s="5">
        <f>H33-Table_2245[[#This Row],[CANTIDAD2]]</f>
        <v>15</v>
      </c>
    </row>
    <row r="35" spans="1:8" ht="15.75" customHeight="1">
      <c r="A35" s="3"/>
      <c r="B35" s="3"/>
      <c r="C35" s="19"/>
      <c r="D35" s="4"/>
      <c r="E35" s="5"/>
      <c r="F35" s="5"/>
      <c r="G35" s="1"/>
      <c r="H35" s="5">
        <f>H34-Table_2245[[#This Row],[CANTIDAD2]]</f>
        <v>15</v>
      </c>
    </row>
    <row r="36" spans="1:8" ht="15.75" customHeight="1">
      <c r="A36" s="3"/>
      <c r="B36" s="3"/>
      <c r="C36" s="17"/>
      <c r="D36" s="4"/>
      <c r="E36" s="5"/>
      <c r="F36" s="5"/>
      <c r="G36" s="1"/>
      <c r="H36" s="5">
        <f>H35-Table_2245[[#This Row],[CANTIDAD2]]</f>
        <v>15</v>
      </c>
    </row>
    <row r="37" spans="1:8" ht="15.75" customHeight="1">
      <c r="A37" s="3"/>
      <c r="B37" s="3"/>
      <c r="C37" s="17"/>
      <c r="D37" s="4"/>
      <c r="E37" s="5"/>
      <c r="F37" s="5"/>
      <c r="G37" s="1"/>
      <c r="H37" s="5">
        <f>H36-Table_2245[[#This Row],[CANTIDAD2]]</f>
        <v>15</v>
      </c>
    </row>
    <row r="38" spans="1:8" ht="15.75" customHeight="1">
      <c r="A38" s="3"/>
      <c r="B38" s="3"/>
      <c r="C38" s="17"/>
      <c r="D38" s="4"/>
      <c r="E38" s="5"/>
      <c r="F38" s="5"/>
      <c r="G38" s="1"/>
      <c r="H38" s="5">
        <f>H37-Table_2245[[#This Row],[CANTIDAD2]]</f>
        <v>15</v>
      </c>
    </row>
    <row r="39" spans="1:8" ht="15.75" customHeight="1">
      <c r="A39" s="3"/>
      <c r="B39" s="3"/>
      <c r="C39" s="4"/>
      <c r="D39" s="4"/>
      <c r="E39" s="5"/>
      <c r="F39" s="5"/>
      <c r="G39" s="1"/>
      <c r="H39" s="5">
        <f>H38-Table_2245[[#This Row],[CANTIDAD2]]</f>
        <v>15</v>
      </c>
    </row>
    <row r="40" spans="1:8" ht="15.75" customHeight="1">
      <c r="A40" s="3"/>
      <c r="B40" s="3"/>
      <c r="C40" s="17"/>
      <c r="D40" s="4"/>
      <c r="E40" s="5"/>
      <c r="F40" s="5"/>
      <c r="G40" s="1"/>
      <c r="H40" s="5">
        <f>H39-Table_2245[[#This Row],[CANTIDAD2]]</f>
        <v>15</v>
      </c>
    </row>
    <row r="41" spans="1:8" ht="15.75" customHeight="1">
      <c r="A41" s="3"/>
      <c r="B41" s="3"/>
      <c r="C41" s="17"/>
      <c r="D41" s="4"/>
      <c r="E41" s="5"/>
      <c r="F41" s="5"/>
      <c r="G41" s="1"/>
      <c r="H41" s="5">
        <f>H40-Table_2245[[#This Row],[CANTIDAD2]]</f>
        <v>15</v>
      </c>
    </row>
    <row r="42" spans="1:8" ht="15.75" customHeight="1">
      <c r="A42" s="3"/>
      <c r="B42" s="3"/>
      <c r="C42" s="17"/>
      <c r="D42" s="4"/>
      <c r="E42" s="5"/>
      <c r="F42" s="5"/>
      <c r="G42" s="1"/>
      <c r="H42" s="5">
        <f>H41-Table_2245[[#This Row],[CANTIDAD2]]</f>
        <v>15</v>
      </c>
    </row>
    <row r="43" spans="1:8" ht="15.75" customHeight="1">
      <c r="A43" s="3"/>
      <c r="B43" s="3"/>
      <c r="C43" s="1"/>
      <c r="D43" s="4"/>
      <c r="E43" s="5"/>
      <c r="F43" s="5"/>
      <c r="G43" s="1"/>
      <c r="H43" s="5">
        <f>H42-Table_2245[[#This Row],[CANTIDAD2]]</f>
        <v>15</v>
      </c>
    </row>
    <row r="44" spans="1:8" ht="15.75" customHeight="1">
      <c r="A44" s="3"/>
      <c r="B44" s="3"/>
      <c r="C44" s="1"/>
      <c r="D44" s="4"/>
      <c r="E44" s="5"/>
      <c r="F44" s="5">
        <f>F43-'GRASA LITHIUM 15 KG'!$E44+'GRASA LITHIUM 15 KG'!$D44</f>
        <v>0</v>
      </c>
      <c r="G44" s="1"/>
      <c r="H44" s="5">
        <f>H43-Table_2245[[#This Row],[CANTIDAD2]]</f>
        <v>15</v>
      </c>
    </row>
    <row r="45" spans="1:8" ht="15.75" customHeight="1">
      <c r="A45" s="3"/>
      <c r="B45" s="3"/>
      <c r="C45" s="1"/>
      <c r="D45" s="4"/>
      <c r="E45" s="5"/>
      <c r="F45" s="5"/>
      <c r="G45" s="1"/>
      <c r="H45" s="5">
        <f>H44-Table_2245[[#This Row],[CANTIDAD2]]</f>
        <v>15</v>
      </c>
    </row>
    <row r="46" spans="1:8" ht="15.75" customHeight="1">
      <c r="A46" s="3"/>
      <c r="B46" s="3"/>
      <c r="C46" s="17"/>
      <c r="D46" s="4"/>
      <c r="E46" s="5"/>
      <c r="F46" s="5"/>
      <c r="G46" s="1"/>
      <c r="H46" s="5">
        <f>H45-Table_2245[[#This Row],[CANTIDAD2]]</f>
        <v>15</v>
      </c>
    </row>
    <row r="47" spans="1:8" ht="15.75" customHeight="1">
      <c r="A47" s="3"/>
      <c r="B47" s="3"/>
      <c r="C47" s="17"/>
      <c r="D47" s="4"/>
      <c r="E47" s="5"/>
      <c r="F47" s="5"/>
      <c r="G47" s="1"/>
      <c r="H47" s="5">
        <f>H46-Table_2245[[#This Row],[CANTIDAD2]]</f>
        <v>15</v>
      </c>
    </row>
    <row r="48" spans="1:8" ht="15.75" customHeight="1">
      <c r="A48" s="3"/>
      <c r="B48" s="3"/>
      <c r="C48" s="1"/>
      <c r="D48" s="4"/>
      <c r="E48" s="5"/>
      <c r="F48" s="5"/>
      <c r="G48" s="1"/>
      <c r="H48" s="5">
        <f>H47-Table_2245[[#This Row],[CANTIDAD2]]</f>
        <v>15</v>
      </c>
    </row>
    <row r="49" spans="1:8" ht="15.75" customHeight="1">
      <c r="A49" s="3"/>
      <c r="B49" s="3"/>
      <c r="C49" s="17"/>
      <c r="D49" s="4"/>
      <c r="E49" s="5"/>
      <c r="F49" s="5"/>
      <c r="G49" s="1"/>
      <c r="H49" s="5">
        <f>H48-Table_2245[[#This Row],[CANTIDAD2]]</f>
        <v>15</v>
      </c>
    </row>
    <row r="50" spans="1:8" ht="15.75" customHeight="1">
      <c r="A50" s="3"/>
      <c r="B50" s="3"/>
      <c r="C50" s="1"/>
      <c r="D50" s="4"/>
      <c r="E50" s="5"/>
      <c r="F50" s="5"/>
      <c r="G50" s="1"/>
      <c r="H50" s="5">
        <f>H49-Table_2245[[#This Row],[CANTIDAD2]]</f>
        <v>15</v>
      </c>
    </row>
    <row r="51" spans="1:8" ht="15.75" customHeight="1">
      <c r="A51" s="3"/>
      <c r="B51" s="3"/>
      <c r="C51" s="17"/>
      <c r="D51" s="4"/>
      <c r="E51" s="5"/>
      <c r="F51" s="5"/>
      <c r="G51" s="1"/>
      <c r="H51" s="5">
        <f>H50-Table_2245[[#This Row],[CANTIDAD2]]</f>
        <v>15</v>
      </c>
    </row>
    <row r="52" spans="1:8" ht="15.75" customHeight="1">
      <c r="A52" s="3"/>
      <c r="B52" s="3"/>
      <c r="C52" s="1"/>
      <c r="D52" s="4"/>
      <c r="E52" s="5"/>
      <c r="F52" s="5"/>
      <c r="G52" s="1"/>
      <c r="H52" s="5">
        <f>H51-Table_2245[[#This Row],[CANTIDAD2]]</f>
        <v>15</v>
      </c>
    </row>
    <row r="53" spans="1:8" ht="15.75" customHeight="1">
      <c r="A53" s="3"/>
      <c r="B53" s="3"/>
      <c r="C53" s="1"/>
      <c r="D53" s="4"/>
      <c r="E53" s="5"/>
      <c r="F53" s="5"/>
      <c r="G53" s="1"/>
      <c r="H53" s="5">
        <f>H52-Table_2245[[#This Row],[CANTIDAD2]]</f>
        <v>15</v>
      </c>
    </row>
    <row r="54" spans="1:8" ht="15.75" customHeight="1">
      <c r="A54" s="3"/>
      <c r="B54" s="3"/>
      <c r="C54" s="1"/>
      <c r="D54" s="4"/>
      <c r="E54" s="5"/>
      <c r="F54" s="5"/>
      <c r="G54" s="1"/>
      <c r="H54" s="5">
        <f>H53-Table_2245[[#This Row],[CANTIDAD2]]</f>
        <v>15</v>
      </c>
    </row>
    <row r="55" spans="1:8" ht="15.75" customHeight="1">
      <c r="A55" s="3"/>
      <c r="B55" s="3"/>
      <c r="C55" s="1"/>
      <c r="D55" s="4"/>
      <c r="E55" s="5"/>
      <c r="F55" s="5"/>
      <c r="G55" s="1"/>
      <c r="H55" s="5">
        <f>H54-Table_2245[[#This Row],[CANTIDAD2]]</f>
        <v>15</v>
      </c>
    </row>
    <row r="56" spans="1:8" ht="15.75" customHeight="1">
      <c r="A56" s="3"/>
      <c r="B56" s="3"/>
      <c r="C56" s="1"/>
      <c r="D56" s="4"/>
      <c r="E56" s="5"/>
      <c r="F56" s="5"/>
      <c r="G56" s="1"/>
      <c r="H56" s="5">
        <f>H55-Table_2245[[#This Row],[CANTIDAD2]]</f>
        <v>15</v>
      </c>
    </row>
    <row r="57" spans="1:8" ht="15.75" customHeight="1">
      <c r="A57" s="3"/>
      <c r="B57" s="3"/>
      <c r="C57" s="1"/>
      <c r="D57" s="4"/>
      <c r="E57" s="5"/>
      <c r="F57" s="5"/>
      <c r="G57" s="1"/>
      <c r="H57" s="5">
        <f>H56-Table_2245[[#This Row],[CANTIDAD2]]</f>
        <v>15</v>
      </c>
    </row>
    <row r="58" spans="1:8" ht="15.75" customHeight="1">
      <c r="A58" s="3"/>
      <c r="B58" s="3"/>
      <c r="C58" s="1"/>
      <c r="D58" s="4"/>
      <c r="E58" s="5"/>
      <c r="F58" s="5"/>
      <c r="G58" s="1"/>
      <c r="H58" s="5">
        <f>H57-Table_2245[[#This Row],[CANTIDAD2]]</f>
        <v>15</v>
      </c>
    </row>
    <row r="59" spans="1:8" ht="15.75" customHeight="1">
      <c r="A59" s="3"/>
      <c r="B59" s="3"/>
      <c r="C59" s="17"/>
      <c r="D59" s="4"/>
      <c r="E59" s="5"/>
      <c r="F59" s="5"/>
      <c r="G59" s="1"/>
      <c r="H59" s="5">
        <f>H58-Table_2245[[#This Row],[CANTIDAD2]]</f>
        <v>15</v>
      </c>
    </row>
    <row r="60" spans="1:8" ht="15.75" customHeight="1">
      <c r="A60" s="3"/>
      <c r="B60" s="3"/>
      <c r="C60" s="1"/>
      <c r="D60" s="4"/>
      <c r="E60" s="5"/>
      <c r="F60" s="5"/>
      <c r="G60" s="1"/>
      <c r="H60" s="5">
        <f>H59-Table_2245[[#This Row],[CANTIDAD2]]</f>
        <v>15</v>
      </c>
    </row>
    <row r="61" spans="1:8" ht="15.75" customHeight="1">
      <c r="A61" s="1"/>
      <c r="B61" s="1"/>
      <c r="C61" s="1"/>
      <c r="D61" s="4"/>
      <c r="E61" s="5"/>
      <c r="F61" s="5"/>
      <c r="G61" s="1"/>
      <c r="H61" s="5">
        <f>H60-Table_2245[[#This Row],[CANTIDAD2]]</f>
        <v>15</v>
      </c>
    </row>
    <row r="62" spans="1:8" ht="15.75" customHeight="1">
      <c r="A62" s="1"/>
      <c r="B62" s="1"/>
      <c r="C62" s="1"/>
      <c r="D62" s="4"/>
      <c r="E62" s="5"/>
      <c r="F62" s="5"/>
      <c r="G62" s="1"/>
      <c r="H62" s="5">
        <f>H61-Table_2245[[#This Row],[CANTIDAD2]]</f>
        <v>15</v>
      </c>
    </row>
    <row r="63" spans="1:8" ht="15.75" customHeight="1">
      <c r="A63" s="1"/>
      <c r="B63" s="1"/>
      <c r="C63" s="1"/>
      <c r="D63" s="4"/>
      <c r="E63" s="5"/>
      <c r="F63" s="5"/>
      <c r="G63" s="1"/>
      <c r="H63" s="5">
        <f>H62-Table_2245[[#This Row],[CANTIDAD2]]</f>
        <v>15</v>
      </c>
    </row>
    <row r="64" spans="1:8" ht="15.75" customHeight="1">
      <c r="A64" s="1"/>
      <c r="B64" s="1"/>
      <c r="C64" s="1"/>
      <c r="D64" s="4"/>
      <c r="E64" s="5"/>
      <c r="F64" s="5"/>
      <c r="G64" s="1"/>
      <c r="H64" s="5">
        <f>H63-Table_2245[[#This Row],[CANTIDAD2]]</f>
        <v>15</v>
      </c>
    </row>
    <row r="65" spans="1:8" ht="15.75" customHeight="1">
      <c r="A65" s="1"/>
      <c r="B65" s="1"/>
      <c r="C65" s="1"/>
      <c r="D65" s="4"/>
      <c r="E65" s="5"/>
      <c r="F65" s="5"/>
      <c r="G65" s="1"/>
      <c r="H65" s="5">
        <f>H64-Table_2245[[#This Row],[CANTIDAD2]]</f>
        <v>15</v>
      </c>
    </row>
    <row r="66" spans="1:8" ht="15.75" customHeight="1">
      <c r="A66" s="1"/>
      <c r="B66" s="1"/>
      <c r="C66" s="1"/>
      <c r="D66" s="4"/>
      <c r="E66" s="5"/>
      <c r="F66" s="5"/>
      <c r="G66" s="1"/>
      <c r="H66" s="5">
        <f>H65-Table_2245[[#This Row],[CANTIDAD2]]</f>
        <v>15</v>
      </c>
    </row>
    <row r="67" spans="1:8" ht="15.75" customHeight="1">
      <c r="A67" s="1"/>
      <c r="B67" s="1"/>
      <c r="C67" s="1"/>
      <c r="D67" s="4"/>
      <c r="E67" s="5"/>
      <c r="F67" s="5"/>
      <c r="G67" s="1"/>
      <c r="H67" s="5">
        <f>H66-Table_2245[[#This Row],[CANTIDAD2]]</f>
        <v>15</v>
      </c>
    </row>
    <row r="68" spans="1:8" ht="15.75" customHeight="1">
      <c r="A68" s="1"/>
      <c r="B68" s="1"/>
      <c r="C68" s="1"/>
      <c r="D68" s="4"/>
      <c r="E68" s="5"/>
      <c r="F68" s="5"/>
      <c r="G68" s="1"/>
      <c r="H68" s="5">
        <f>H67-Table_2245[[#This Row],[CANTIDAD2]]</f>
        <v>15</v>
      </c>
    </row>
    <row r="69" spans="1:8" ht="15.75" customHeight="1">
      <c r="A69" s="1"/>
      <c r="B69" s="1"/>
      <c r="C69" s="1"/>
      <c r="D69" s="4"/>
      <c r="E69" s="5"/>
      <c r="F69" s="5"/>
      <c r="G69" s="1"/>
      <c r="H69" s="5">
        <f>H68-Table_2245[[#This Row],[CANTIDAD2]]</f>
        <v>15</v>
      </c>
    </row>
    <row r="70" spans="1:8" ht="15.75" customHeight="1">
      <c r="A70" s="1"/>
      <c r="B70" s="1"/>
      <c r="C70" s="1"/>
      <c r="D70" s="4"/>
      <c r="E70" s="5"/>
      <c r="F70" s="5"/>
      <c r="G70" s="1"/>
      <c r="H70" s="5">
        <f>H69-Table_2245[[#This Row],[CANTIDAD2]]</f>
        <v>15</v>
      </c>
    </row>
    <row r="71" spans="1:8" ht="15.75" customHeight="1">
      <c r="A71" s="1"/>
      <c r="B71" s="1"/>
      <c r="C71" s="1"/>
      <c r="D71" s="4"/>
      <c r="E71" s="5"/>
      <c r="F71" s="5"/>
      <c r="G71" s="1"/>
      <c r="H71" s="5">
        <f>Table_2245[[#This Row],[CANTIDAD]]-Table_2245[[#This Row],[CANTIDAD2]]</f>
        <v>0</v>
      </c>
    </row>
    <row r="72" spans="1:8" ht="15.75" customHeight="1">
      <c r="A72" s="1"/>
      <c r="B72" s="1"/>
      <c r="C72" s="1"/>
      <c r="D72" s="4"/>
      <c r="E72" s="5">
        <f>SUBTOTAL(109,'GRASA LITHIUM 15 KG'!$E$10:$E$71)</f>
        <v>0</v>
      </c>
      <c r="F72" s="5"/>
      <c r="G72" s="21"/>
    </row>
    <row r="73" spans="1:8" ht="15.75" customHeight="1"/>
    <row r="74" spans="1:8" ht="15.75" customHeight="1"/>
    <row r="75" spans="1:8" ht="15.75" customHeight="1"/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</sheetData>
  <mergeCells count="4">
    <mergeCell ref="A1:B4"/>
    <mergeCell ref="C1:G4"/>
    <mergeCell ref="B8:C8"/>
    <mergeCell ref="D8:G8"/>
  </mergeCells>
  <pageMargins left="0.70866141732283472" right="0.70866141732283472" top="0.74803149606299213" bottom="0.74803149606299213" header="0" footer="0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15W-40</vt:lpstr>
      <vt:lpstr>SAE 50</vt:lpstr>
      <vt:lpstr>GEAR 85W-140</vt:lpstr>
      <vt:lpstr>GRASA LITHIUM 15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gabogalban25@gmail.com</dc:creator>
  <cp:lastModifiedBy>Dell Usuario</cp:lastModifiedBy>
  <cp:lastPrinted>2026-01-12T12:27:32Z</cp:lastPrinted>
  <dcterms:created xsi:type="dcterms:W3CDTF">2025-12-02T01:43:33Z</dcterms:created>
  <dcterms:modified xsi:type="dcterms:W3CDTF">2026-10-02T20:04:20Z</dcterms:modified>
</cp:coreProperties>
</file>