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GASOIL INTERNO" sheetId="1" r:id="rId4"/>
    <sheet state="visible" name="GASOIL DESPACHO DE PLANTA" sheetId="2" r:id="rId5"/>
    <sheet state="visible" name="CONTROL GASOIL VOLTEO SINDICATO" sheetId="3" r:id="rId6"/>
    <sheet state="visible" name="CONTROL GASOIL  ZU-CONCRETO" sheetId="4" r:id="rId7"/>
    <sheet state="visible" name="CONTROL INGRESO GASOIL" sheetId="5" r:id="rId8"/>
  </sheets>
  <definedNames/>
  <calcPr/>
</workbook>
</file>

<file path=xl/sharedStrings.xml><?xml version="1.0" encoding="utf-8"?>
<sst xmlns="http://schemas.openxmlformats.org/spreadsheetml/2006/main" count="462" uniqueCount="101">
  <si>
    <t>CONTROL DE GASOIL MANUAL</t>
  </si>
  <si>
    <t>CAM-FR-AD-002</t>
  </si>
  <si>
    <t>Fecha: 07/2026</t>
  </si>
  <si>
    <t>Revisión: 0</t>
  </si>
  <si>
    <t>Pagina: 1 de 5</t>
  </si>
  <si>
    <t>FECHA</t>
  </si>
  <si>
    <t>Operación</t>
  </si>
  <si>
    <t>Nombre de la persona que Reporta</t>
  </si>
  <si>
    <t>EMPRESA</t>
  </si>
  <si>
    <t>OBSERVACIONES</t>
  </si>
  <si>
    <t>VEHICULO</t>
  </si>
  <si>
    <t>OBRA</t>
  </si>
  <si>
    <t>CANTIDAD DE LITROS</t>
  </si>
  <si>
    <t>SOPORTE</t>
  </si>
  <si>
    <t>EGRESO</t>
  </si>
  <si>
    <t>JESUS ROMERO</t>
  </si>
  <si>
    <t>MOPARCA</t>
  </si>
  <si>
    <t>OBRAS</t>
  </si>
  <si>
    <t>APOYO</t>
  </si>
  <si>
    <t>PATIO</t>
  </si>
  <si>
    <t>CARGO 815 TRANSPORTE</t>
  </si>
  <si>
    <t>PROPIO</t>
  </si>
  <si>
    <t>VISION</t>
  </si>
  <si>
    <t>CARGO 1721</t>
  </si>
  <si>
    <t>SUPER DUTY BLANCO</t>
  </si>
  <si>
    <t>CISTERNA</t>
  </si>
  <si>
    <t>CARGO 815 PLATAFORMA</t>
  </si>
  <si>
    <t>APOYO LUIS CHACON</t>
  </si>
  <si>
    <t>RETRO 420D</t>
  </si>
  <si>
    <t>CAMION DE SERVICIO</t>
  </si>
  <si>
    <t>WORKER BLANCO</t>
  </si>
  <si>
    <t>CARGADOR 928G</t>
  </si>
  <si>
    <t>VOLTEO MITSUBISHI</t>
  </si>
  <si>
    <t>USO INTERNO LONERO</t>
  </si>
  <si>
    <t>CARGO 815 BACHEO ROJO</t>
  </si>
  <si>
    <t>ROCCO AZUL</t>
  </si>
  <si>
    <t>APOYO GUARDIA NACIONAL</t>
  </si>
  <si>
    <t>G,N</t>
  </si>
  <si>
    <t>PRIVADO</t>
  </si>
  <si>
    <t>CONSUMO INTERNO</t>
  </si>
  <si>
    <t>S/S</t>
  </si>
  <si>
    <t>PITERBILL</t>
  </si>
  <si>
    <t>MITSUBISHI VOLTEO</t>
  </si>
  <si>
    <t>TRANSPORTE CHEITO</t>
  </si>
  <si>
    <t>CIERRE DEL 01/09 AL 30/09</t>
  </si>
  <si>
    <t>USO INTERNO</t>
  </si>
  <si>
    <t>Pagina: 2 de 5</t>
  </si>
  <si>
    <t>TONELADAS</t>
  </si>
  <si>
    <t>T/L</t>
  </si>
  <si>
    <t>SIMPLIFICADO</t>
  </si>
  <si>
    <t>ASFALTADO INTERNO CAMELOT</t>
  </si>
  <si>
    <t>DESPACHO</t>
  </si>
  <si>
    <t>Pagina: 3 de 5</t>
  </si>
  <si>
    <t>Fecha</t>
  </si>
  <si>
    <t>CHOFER</t>
  </si>
  <si>
    <t>C.I</t>
  </si>
  <si>
    <t>SINDICATO</t>
  </si>
  <si>
    <t>N° Factura</t>
  </si>
  <si>
    <t>PLACAS</t>
  </si>
  <si>
    <t>DOUGLAS PARRA</t>
  </si>
  <si>
    <t>SINTRACACIVOLPE</t>
  </si>
  <si>
    <t>A82CC4M</t>
  </si>
  <si>
    <t>S/O</t>
  </si>
  <si>
    <t>HERRY AVILA</t>
  </si>
  <si>
    <t>65EDAO</t>
  </si>
  <si>
    <t>NELSON ZAMBRANO</t>
  </si>
  <si>
    <t>A41AL6G</t>
  </si>
  <si>
    <t>VICTOR BOSCAN</t>
  </si>
  <si>
    <t>SINTRAMACON</t>
  </si>
  <si>
    <t>A78BW5V</t>
  </si>
  <si>
    <t>ENGERBERTH GALLARDO</t>
  </si>
  <si>
    <t>A84BK5F</t>
  </si>
  <si>
    <t>Pagina: 4 de 5</t>
  </si>
  <si>
    <t>Placa</t>
  </si>
  <si>
    <t>N° TALONARIO</t>
  </si>
  <si>
    <t>01KWAB</t>
  </si>
  <si>
    <t>A21BC8V</t>
  </si>
  <si>
    <t>A23BJ2V</t>
  </si>
  <si>
    <t>A14AJ3C</t>
  </si>
  <si>
    <t>A26AZ2P</t>
  </si>
  <si>
    <t>A25AW2M</t>
  </si>
  <si>
    <t>ZUCONCRETO</t>
  </si>
  <si>
    <t>Pagina: 5 de 5</t>
  </si>
  <si>
    <t>Proveedor</t>
  </si>
  <si>
    <t>N° Control</t>
  </si>
  <si>
    <t>N° de Litros</t>
  </si>
  <si>
    <t>Recibo</t>
  </si>
  <si>
    <t>INGRESO</t>
  </si>
  <si>
    <t>PROPIA</t>
  </si>
  <si>
    <t>PDVSA</t>
  </si>
  <si>
    <t>S/N</t>
  </si>
  <si>
    <t>S/F</t>
  </si>
  <si>
    <t>BALCOSA</t>
  </si>
  <si>
    <t>ULTIMO CIERRE</t>
  </si>
  <si>
    <t>ENTRADA</t>
  </si>
  <si>
    <t>EXISTENTE 2025</t>
  </si>
  <si>
    <t>TOTAL</t>
  </si>
  <si>
    <t xml:space="preserve">CONSUMO </t>
  </si>
  <si>
    <t>INGRESO 2026</t>
  </si>
  <si>
    <t>TOTAL EXISTENTE</t>
  </si>
  <si>
    <t>24470-27851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</si>
</sst>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_ ;\-#,##0\ "/>
    <numFmt numFmtId="166" formatCode="0.000"/>
  </numFmts>
  <fonts count="26">
    <font>
      <sz val="11.0"/>
      <color/>
      <name val="Arial"/>
      <scheme val="minor"/>
    </font>
    <font>
      <b/>
      <sz val="10.0"/>
      <color/>
      <name val="Arial"/>
    </font>
    <font/>
    <font>
      <sz val="10.0"/>
      <color/>
      <name val="Arial"/>
    </font>
    <font>
      <b/>
      <sz val="12.0"/>
      <color/>
      <name val="Arial"/>
    </font>
    <font>
      <sz val="12.0"/>
      <color/>
      <name val="Arial"/>
    </font>
    <font>
      <sz val="12.0"/>
      <color rgb="FF434343"/>
      <name val="Roboto"/>
    </font>
    <font>
      <sz val="12.0"/>
      <color rgb="FF434343"/>
      <name val="Arial"/>
    </font>
    <font>
      <sz val="11.0"/>
      <color/>
      <name val="Calibri"/>
    </font>
    <font>
      <sz val="12.0"/>
      <color rgb="FF000000"/>
      <name val="Arial"/>
    </font>
    <font>
      <b/>
      <sz val="26.0"/>
      <color/>
      <name val="Arial"/>
    </font>
    <font>
      <sz val="10.0"/>
      <color rgb="FF434343"/>
      <name val="Roboto"/>
    </font>
    <font>
      <sz val="10.0"/>
      <color rgb="FF434343"/>
      <name val="Arial"/>
    </font>
    <font>
      <u/>
      <sz val="10.0"/>
      <color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rgb="FF434343"/>
      <name val="Roboto"/>
    </font>
    <font>
      <sz val="14.0"/>
      <color rgb="FF434343"/>
      <name val="Roboto"/>
    </font>
    <font>
      <b/>
      <sz val="12.0"/>
      <color/>
      <name val="Calibri"/>
    </font>
    <font>
      <sz val="16.0"/>
      <color/>
      <name val="Calibri"/>
    </font>
    <font>
      <b/>
      <sz val="20.0"/>
      <color/>
      <name val="Arial"/>
    </font>
    <font>
      <b/>
      <sz val="22.0"/>
      <color/>
      <name val="Calibri"/>
    </font>
    <font>
      <sz val="10.0"/>
      <color/>
      <name val="Calibri"/>
    </font>
    <font>
      <b/>
      <sz val="12.0"/>
      <color rgb="FF434343"/>
      <name val="Arial"/>
    </font>
    <font>
      <b/>
      <sz val="11.0"/>
      <color/>
      <name val="Calibri"/>
    </font>
    <font>
      <sz val="20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3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CCCCCC"/>
      </left>
      <right style="medium">
        <color rgb="FFF8F9FA"/>
      </right>
      <top/>
      <bottom style="medium">
        <color rgb="FFF8F9FA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medium">
        <color rgb="FF442F65"/>
      </top>
      <bottom/>
    </border>
    <border>
      <left/>
      <right style="medium">
        <color rgb="FFFFFFFF"/>
      </right>
      <top style="medium">
        <color rgb="FF442F65"/>
      </top>
      <bottom/>
    </border>
    <border>
      <left style="medium">
        <color rgb="FFCCCCCC"/>
      </left>
      <right style="medium">
        <color rgb="FFFFFFFF"/>
      </right>
      <top style="medium">
        <color rgb="FF442F65"/>
      </top>
      <bottom/>
    </border>
    <border>
      <left style="medium">
        <color rgb="FFCCCCCC"/>
      </left>
      <right style="medium">
        <color rgb="FF442F65"/>
      </right>
      <top style="medium">
        <color rgb="FF442F65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3" numFmtId="0" xfId="0" applyAlignment="1" applyBorder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4" fillId="0" fontId="5" numFmtId="14" xfId="0" applyAlignment="1" applyBorder="1" applyFont="1" applyNumberFormat="1">
      <alignment horizontal="center" vertical="center"/>
    </xf>
    <xf borderId="11" fillId="2" fontId="6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left"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4" fillId="0" fontId="5" numFmtId="0" xfId="0" applyAlignment="1" applyBorder="1" applyFont="1">
      <alignment horizontal="center"/>
    </xf>
    <xf borderId="12" fillId="0" fontId="8" numFmtId="0" xfId="0" applyBorder="1" applyFont="1"/>
    <xf borderId="0" fillId="0" fontId="8" numFmtId="0" xfId="0" applyFont="1"/>
    <xf borderId="4" fillId="0" fontId="9" numFmtId="164" xfId="0" applyAlignment="1" applyBorder="1" applyFont="1" applyNumberFormat="1">
      <alignment horizontal="center" shrinkToFit="0" wrapText="0"/>
    </xf>
    <xf borderId="13" fillId="2" fontId="6" numFmtId="0" xfId="0" applyAlignment="1" applyBorder="1" applyFill="1" applyFont="1">
      <alignment horizontal="center"/>
    </xf>
    <xf borderId="8" fillId="2" fontId="6" numFmtId="0" xfId="0" applyAlignment="1" applyBorder="1" applyFill="1" applyFont="1">
      <alignment horizontal="center"/>
    </xf>
    <xf borderId="4" fillId="2" fontId="7" numFmtId="0" xfId="0" applyAlignment="1" applyBorder="1" applyFill="1" applyFont="1">
      <alignment horizontal="left"/>
    </xf>
    <xf borderId="4" fillId="3" fontId="7" numFmtId="0" xfId="0" applyAlignment="1" applyBorder="1" applyFill="1" applyFont="1">
      <alignment horizontal="right"/>
    </xf>
    <xf borderId="4" fillId="0" fontId="9" numFmtId="0" xfId="0" applyAlignment="1" applyBorder="1" applyFont="1">
      <alignment horizontal="center" shrinkToFit="0" vertical="bottom" wrapText="0"/>
    </xf>
    <xf borderId="14" fillId="0" fontId="10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2" fillId="0" fontId="10" numFmtId="14" xfId="0" applyAlignment="1" applyBorder="1" applyFont="1" applyNumberFormat="1">
      <alignment vertical="center"/>
    </xf>
    <xf borderId="17" fillId="0" fontId="10" numFmtId="14" xfId="0" applyAlignment="1" applyBorder="1" applyFont="1" applyNumberFormat="1">
      <alignment vertical="center"/>
    </xf>
    <xf borderId="14" fillId="0" fontId="8" numFmtId="0" xfId="0" applyAlignment="1" applyBorder="1" applyFont="1">
      <alignment horizontal="center"/>
    </xf>
    <xf borderId="10" fillId="4" fontId="5" numFmtId="3" xfId="0" applyAlignment="1" applyBorder="1" applyFill="1" applyFont="1" applyNumberFormat="1">
      <alignment horizontal="center" vertical="center"/>
    </xf>
    <xf borderId="18" fillId="0" fontId="11" numFmtId="3" xfId="0" applyAlignment="1" applyBorder="1" applyFont="1" applyNumberForma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" fillId="0" fontId="3" numFmtId="1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12" numFmtId="2" xfId="0" applyAlignment="1" applyBorder="1" applyFill="1" applyFont="1" applyNumberFormat="1">
      <alignment horizontal="right" shrinkToFit="0" vertical="center" wrapText="1"/>
    </xf>
    <xf borderId="4" fillId="2" fontId="13" numFmtId="1" xfId="0" applyAlignment="1" applyBorder="1" applyFill="1" applyFont="1" applyNumberFormat="1">
      <alignment shrinkToFit="0" vertical="center" wrapText="1"/>
    </xf>
    <xf borderId="4" fillId="3" fontId="14" numFmtId="14" xfId="0" applyAlignment="1" applyBorder="1" applyFill="1" applyFont="1" applyNumberFormat="1">
      <alignment horizontal="center"/>
    </xf>
    <xf borderId="4" fillId="3" fontId="14" numFmtId="0" xfId="0" applyAlignment="1" applyBorder="1" applyFill="1" applyFont="1">
      <alignment horizontal="center"/>
    </xf>
    <xf borderId="4" fillId="3" fontId="14" numFmtId="0" xfId="0" applyAlignment="1" applyBorder="1" applyFill="1" applyFont="1">
      <alignment horizontal="center" shrinkToFit="0" vertical="center" wrapText="1"/>
    </xf>
    <xf borderId="4" fillId="2" fontId="15" numFmtId="0" xfId="0" applyAlignment="1" applyBorder="1" applyFill="1" applyFont="1">
      <alignment horizontal="right"/>
    </xf>
    <xf borderId="4" fillId="3" fontId="14" numFmtId="0" xfId="0" applyAlignment="1" applyBorder="1" applyFill="1" applyFont="1">
      <alignment horizontal="center" shrinkToFit="0" wrapText="1"/>
    </xf>
    <xf borderId="14" fillId="0" fontId="10" numFmtId="14" xfId="0" applyAlignment="1" applyBorder="1" applyFont="1" applyNumberFormat="1">
      <alignment horizontal="center" vertical="center"/>
    </xf>
    <xf borderId="10" fillId="2" fontId="5" numFmtId="0" xfId="0" applyAlignment="1" applyBorder="1" applyFill="1" applyFont="1">
      <alignment shrinkToFit="0" vertical="center" wrapText="1"/>
    </xf>
    <xf borderId="10" fillId="4" fontId="8" numFmtId="3" xfId="0" applyAlignment="1" applyBorder="1" applyFill="1" applyFont="1" applyNumberFormat="1">
      <alignment horizontal="center" vertical="center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4" fillId="3" fontId="11" numFmtId="164" xfId="0" applyAlignment="1" applyBorder="1" applyFill="1" applyFont="1" applyNumberFormat="1">
      <alignment horizontal="center"/>
    </xf>
    <xf borderId="4" fillId="3" fontId="11" numFmtId="0" xfId="0" applyAlignment="1" applyBorder="1" applyFill="1" applyFont="1">
      <alignment horizontal="center"/>
    </xf>
    <xf borderId="4" fillId="2" fontId="11" numFmtId="0" xfId="0" applyAlignment="1" applyBorder="1" applyFill="1" applyFont="1">
      <alignment horizontal="center"/>
    </xf>
    <xf borderId="4" fillId="3" fontId="11" numFmtId="14" xfId="0" applyAlignment="1" applyBorder="1" applyFill="1" applyFont="1" applyNumberFormat="1">
      <alignment horizontal="center"/>
    </xf>
    <xf borderId="4" fillId="3" fontId="14" numFmtId="49" xfId="0" applyAlignment="1" applyBorder="1" applyFill="1" applyFont="1" applyNumberFormat="1">
      <alignment horizontal="center"/>
    </xf>
    <xf borderId="4" fillId="3" fontId="11" numFmtId="3" xfId="0" applyAlignment="1" applyBorder="1" applyFill="1" applyFont="1" applyNumberFormat="1">
      <alignment horizontal="center"/>
    </xf>
    <xf borderId="12" fillId="3" fontId="11" numFmtId="14" xfId="0" applyAlignment="1" applyBorder="1" applyFill="1" applyFont="1" applyNumberFormat="1">
      <alignment horizontal="center" shrinkToFit="0" vertical="center" wrapText="1"/>
    </xf>
    <xf borderId="12" fillId="3" fontId="11" numFmtId="0" xfId="0" applyAlignment="1" applyBorder="1" applyFill="1" applyFont="1">
      <alignment horizontal="center" shrinkToFit="0" vertical="center" wrapText="1"/>
    </xf>
    <xf borderId="12" fillId="2" fontId="11" numFmtId="0" xfId="0" applyAlignment="1" applyBorder="1" applyFill="1" applyFont="1">
      <alignment shrinkToFit="0" vertical="center" wrapText="1"/>
    </xf>
    <xf borderId="12" fillId="3" fontId="3" numFmtId="0" xfId="0" applyAlignment="1" applyBorder="1" applyFill="1" applyFont="1">
      <alignment horizontal="center" shrinkToFit="0" vertical="center" wrapText="1"/>
    </xf>
    <xf borderId="12" fillId="3" fontId="3" numFmtId="49" xfId="0" applyAlignment="1" applyBorder="1" applyFill="1" applyFont="1" applyNumberFormat="1">
      <alignment horizontal="center" shrinkToFit="0" vertical="center" wrapText="1"/>
    </xf>
    <xf borderId="12" fillId="0" fontId="16" numFmtId="3" xfId="0" applyAlignment="1" applyBorder="1" applyFont="1" applyNumberFormat="1">
      <alignment horizontal="center" shrinkToFit="0" vertical="center" wrapText="1"/>
    </xf>
    <xf borderId="12" fillId="3" fontId="16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horizontal="center"/>
    </xf>
    <xf borderId="24" fillId="0" fontId="1" numFmtId="0" xfId="0" applyAlignment="1" applyBorder="1" applyFont="1">
      <alignment horizontal="center" shrinkToFit="0" vertical="center" wrapText="1"/>
    </xf>
    <xf borderId="4" fillId="0" fontId="5" numFmtId="14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8" numFmtId="14" xfId="0" applyFont="1" applyNumberFormat="1"/>
    <xf borderId="10" fillId="2" fontId="11" numFmtId="0" xfId="0" applyAlignment="1" applyBorder="1" applyFill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11" fillId="0" fontId="5" numFmtId="14" xfId="0" applyAlignment="1" applyBorder="1" applyFont="1" applyNumberFormat="1">
      <alignment vertical="center"/>
    </xf>
    <xf borderId="11" fillId="0" fontId="5" numFmtId="14" xfId="0" applyAlignment="1" applyBorder="1" applyFont="1" applyNumberFormat="1">
      <alignment horizontal="center" vertical="center"/>
    </xf>
    <xf borderId="26" fillId="0" fontId="5" numFmtId="14" xfId="0" applyAlignment="1" applyBorder="1" applyFont="1" applyNumberFormat="1">
      <alignment horizontal="center" vertical="center"/>
    </xf>
    <xf borderId="27" fillId="0" fontId="2" numFmtId="0" xfId="0" applyBorder="1" applyFont="1"/>
    <xf borderId="11" fillId="0" fontId="5" numFmtId="0" xfId="0" applyAlignment="1" applyBorder="1" applyFont="1">
      <alignment horizontal="center" vertical="center"/>
    </xf>
    <xf borderId="11" fillId="0" fontId="5" numFmtId="2" xfId="0" applyAlignment="1" applyBorder="1" applyFont="1" applyNumberFormat="1">
      <alignment horizontal="center" vertical="center"/>
    </xf>
    <xf borderId="11" fillId="0" fontId="5" numFmtId="165" xfId="0" applyAlignment="1" applyBorder="1" applyFont="1" applyNumberFormat="1">
      <alignment horizontal="center" vertical="center"/>
    </xf>
    <xf borderId="13" fillId="3" fontId="9" numFmtId="14" xfId="0" applyAlignment="1" applyBorder="1" applyFill="1" applyFont="1" applyNumberFormat="1">
      <alignment horizontal="right" shrinkToFit="0" wrapText="0"/>
    </xf>
    <xf borderId="8" fillId="3" fontId="9" numFmtId="0" xfId="0" applyAlignment="1" applyBorder="1" applyFill="1" applyFont="1">
      <alignment horizontal="center" shrinkToFit="0" wrapText="0"/>
    </xf>
    <xf borderId="4" fillId="3" fontId="9" numFmtId="0" xfId="0" applyAlignment="1" applyBorder="1" applyFill="1" applyFont="1">
      <alignment shrinkToFit="0" wrapText="0"/>
    </xf>
    <xf borderId="8" fillId="3" fontId="9" numFmtId="2" xfId="0" applyAlignment="1" applyBorder="1" applyFill="1" applyFont="1" applyNumberFormat="1">
      <alignment horizontal="center" shrinkToFit="0" wrapText="0"/>
    </xf>
    <xf borderId="8" fillId="3" fontId="9" numFmtId="3" xfId="0" applyAlignment="1" applyBorder="1" applyFill="1" applyFont="1" applyNumberFormat="1">
      <alignment horizontal="center" shrinkToFit="0" wrapText="0"/>
    </xf>
    <xf borderId="8" fillId="3" fontId="9" numFmtId="165" xfId="0" applyAlignment="1" applyBorder="1" applyFill="1" applyFont="1" applyNumberFormat="1">
      <alignment horizontal="center" shrinkToFit="0" wrapText="0"/>
    </xf>
    <xf borderId="0" fillId="2" fontId="17" numFmtId="0" xfId="0" applyAlignment="1" applyFill="1" applyFont="1">
      <alignment horizontal="center" shrinkToFit="0" vertical="center" wrapText="1"/>
    </xf>
    <xf borderId="0" fillId="3" fontId="5" numFmtId="3" xfId="0" applyAlignment="1" applyFill="1" applyFont="1" applyNumberFormat="1">
      <alignment horizontal="center" vertical="center"/>
    </xf>
    <xf borderId="12" fillId="0" fontId="10" numFmtId="14" xfId="0" applyAlignment="1" applyBorder="1" applyFont="1" applyNumberFormat="1">
      <alignment horizontal="center" vertical="center"/>
    </xf>
    <xf borderId="10" fillId="2" fontId="17" numFmtId="0" xfId="0" applyAlignment="1" applyBorder="1" applyFill="1" applyFont="1">
      <alignment horizontal="center" shrinkToFit="0" vertical="center" wrapText="1"/>
    </xf>
    <xf borderId="28" fillId="0" fontId="10" numFmtId="14" xfId="0" applyAlignment="1" applyBorder="1" applyFont="1" applyNumberFormat="1">
      <alignment vertical="center"/>
    </xf>
    <xf borderId="29" fillId="0" fontId="10" numFmtId="14" xfId="0" applyAlignment="1" applyBorder="1" applyFont="1" applyNumberFormat="1">
      <alignment vertical="center"/>
    </xf>
    <xf borderId="0" fillId="3" fontId="10" numFmtId="14" xfId="0" applyAlignment="1" applyFill="1" applyFont="1" applyNumberFormat="1">
      <alignment vertical="center"/>
    </xf>
    <xf borderId="0" fillId="3" fontId="18" numFmtId="0" xfId="0" applyAlignment="1" applyFill="1" applyFont="1">
      <alignment horizontal="center" vertical="center"/>
    </xf>
    <xf borderId="30" fillId="0" fontId="10" numFmtId="14" xfId="0" applyAlignment="1" applyBorder="1" applyFont="1" applyNumberFormat="1">
      <alignment vertical="center"/>
    </xf>
    <xf borderId="12" fillId="0" fontId="19" numFmtId="0" xfId="0" applyBorder="1" applyFont="1"/>
    <xf borderId="10" fillId="4" fontId="19" numFmtId="0" xfId="0" applyBorder="1" applyFill="1" applyFont="1"/>
    <xf borderId="10" fillId="6" fontId="20" numFmtId="3" xfId="0" applyAlignment="1" applyBorder="1" applyFill="1" applyFont="1" applyNumberFormat="1">
      <alignment horizontal="center" vertical="center"/>
    </xf>
    <xf borderId="0" fillId="3" fontId="21" numFmtId="166" xfId="0" applyAlignment="1" applyFill="1" applyFont="1" applyNumberFormat="1">
      <alignment vertical="center"/>
    </xf>
    <xf borderId="0" fillId="3" fontId="8" numFmtId="0" xfId="0" applyFill="1" applyFont="1"/>
    <xf borderId="0" fillId="0" fontId="22" numFmtId="0" xfId="0" applyFont="1"/>
    <xf borderId="9" fillId="0" fontId="4" numFmtId="0" xfId="0" applyAlignment="1" applyBorder="1" applyFont="1">
      <alignment horizontal="center" vertical="center"/>
    </xf>
    <xf borderId="0" fillId="3" fontId="21" numFmtId="1" xfId="0" applyAlignment="1" applyFill="1" applyFont="1" applyNumberFormat="1">
      <alignment horizontal="center" vertical="center"/>
    </xf>
    <xf borderId="31" fillId="0" fontId="5" numFmtId="0" xfId="0" applyAlignment="1" applyBorder="1" applyFont="1">
      <alignment horizontal="center" vertical="center"/>
    </xf>
    <xf borderId="32" fillId="4" fontId="19" numFmtId="0" xfId="0" applyBorder="1" applyFill="1" applyFont="1"/>
    <xf borderId="33" fillId="3" fontId="23" numFmtId="0" xfId="0" applyAlignment="1" applyBorder="1" applyFill="1" applyFont="1">
      <alignment horizontal="center" shrinkToFit="0" vertical="center" wrapText="1"/>
    </xf>
    <xf borderId="34" fillId="0" fontId="18" numFmtId="0" xfId="0" applyAlignment="1" applyBorder="1" applyFont="1">
      <alignment horizontal="center" vertical="center"/>
    </xf>
    <xf borderId="34" fillId="0" fontId="24" numFmtId="166" xfId="0" applyAlignment="1" applyBorder="1" applyFont="1" applyNumberFormat="1">
      <alignment vertical="center"/>
    </xf>
    <xf borderId="12" fillId="0" fontId="5" numFmtId="0" xfId="0" applyAlignment="1" applyBorder="1" applyFont="1">
      <alignment horizontal="center" vertical="center"/>
    </xf>
    <xf borderId="12" fillId="0" fontId="20" numFmtId="3" xfId="0" applyAlignment="1" applyBorder="1" applyFont="1" applyNumberFormat="1">
      <alignment horizontal="center"/>
    </xf>
    <xf borderId="0" fillId="0" fontId="25" numFmtId="0" xfId="0" applyFont="1"/>
    <xf borderId="12" fillId="0" fontId="4" numFmtId="0" xfId="0" applyAlignment="1" applyBorder="1" applyFont="1">
      <alignment horizontal="center" vertical="center"/>
    </xf>
    <xf borderId="12" fillId="0" fontId="20" numFmtId="3" xfId="0" applyAlignment="1" applyBorder="1" applyFont="1" applyNumberFormat="1">
      <alignment horizontal="center" vertical="center"/>
    </xf>
    <xf borderId="35" fillId="5" fontId="4" numFmtId="0" xfId="0" applyAlignment="1" applyBorder="1" applyFill="1" applyFont="1">
      <alignment horizontal="center" vertical="center"/>
    </xf>
    <xf borderId="0" fillId="0" fontId="24" numFmtId="0" xfId="0" applyFont="1"/>
    <xf borderId="0" fillId="0" fontId="24" numFmtId="3" xfId="0" applyFont="1" applyNumberFormat="1"/>
    <xf borderId="0" fillId="0" fontId="8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190500</xdr:rowOff>
    </xdr:from>
    <xdr:ext cx="118110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95250</xdr:rowOff>
    </xdr:from>
    <xdr:ext cx="1238250" cy="476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1028700" cy="495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1552575" cy="333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152400</xdr:rowOff>
    </xdr:from>
    <xdr:ext cx="1552575" cy="6096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19.88"/>
    <col customWidth="1" min="4" max="4" width="30.13"/>
    <col customWidth="1" min="5" max="5" width="17.5"/>
    <col customWidth="1" min="6" max="8" width="9.38"/>
    <col customWidth="1" min="9" max="9" width="16.0"/>
    <col customWidth="1" min="10" max="12" width="9.38"/>
  </cols>
  <sheetData>
    <row r="1" ht="14.25" customHeight="1">
      <c r="A1" s="1"/>
      <c r="B1" s="2"/>
      <c r="C1" s="1" t="s">
        <v>0</v>
      </c>
      <c r="D1" s="3"/>
      <c r="E1" s="3"/>
      <c r="F1" s="3"/>
      <c r="G1" s="3"/>
      <c r="H1" s="2"/>
      <c r="I1" s="4" t="s">
        <v>1</v>
      </c>
    </row>
    <row r="2" ht="14.25" customHeight="1">
      <c r="A2" s="5"/>
      <c r="B2" s="6"/>
      <c r="C2" s="5"/>
      <c r="H2" s="6"/>
      <c r="I2" s="7" t="s">
        <v>2</v>
      </c>
    </row>
    <row r="3" ht="14.25" customHeight="1">
      <c r="A3" s="5"/>
      <c r="B3" s="6"/>
      <c r="C3" s="5"/>
      <c r="H3" s="6"/>
      <c r="I3" s="7" t="s">
        <v>3</v>
      </c>
    </row>
    <row r="4" ht="14.25" customHeight="1">
      <c r="A4" s="8"/>
      <c r="B4" s="9"/>
      <c r="C4" s="8"/>
      <c r="D4" s="10"/>
      <c r="E4" s="10"/>
      <c r="F4" s="10"/>
      <c r="G4" s="10"/>
      <c r="H4" s="9"/>
      <c r="I4" s="7" t="s">
        <v>4</v>
      </c>
    </row>
    <row r="5" ht="14.25" customHeight="1"/>
    <row r="6" ht="14.25" customHeight="1"/>
    <row r="7" ht="14.25" customHeight="1"/>
    <row r="8" ht="27.0" customHeight="1">
      <c r="A8" s="11" t="s">
        <v>5</v>
      </c>
      <c r="B8" s="11" t="s">
        <v>6</v>
      </c>
      <c r="C8" s="11" t="s">
        <v>7</v>
      </c>
      <c r="D8" s="12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</row>
    <row r="9" ht="15.0" customHeight="1">
      <c r="A9" s="13">
        <v>46266.0</v>
      </c>
      <c r="B9" s="14" t="s">
        <v>14</v>
      </c>
      <c r="C9" s="14" t="s">
        <v>15</v>
      </c>
      <c r="D9" s="15" t="s">
        <v>16</v>
      </c>
      <c r="E9" s="14" t="s">
        <v>17</v>
      </c>
      <c r="F9" s="14" t="s">
        <v>18</v>
      </c>
      <c r="G9" s="14" t="s">
        <v>19</v>
      </c>
      <c r="H9" s="16">
        <v>200.0</v>
      </c>
      <c r="I9" s="17">
        <v>1.1090334E7</v>
      </c>
      <c r="J9" s="18"/>
      <c r="K9" s="18"/>
      <c r="L9" s="18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13">
        <v>46266.0</v>
      </c>
      <c r="B10" s="14" t="s">
        <v>14</v>
      </c>
      <c r="C10" s="14" t="s">
        <v>15</v>
      </c>
      <c r="D10" s="15" t="s">
        <v>20</v>
      </c>
      <c r="E10" s="14" t="s">
        <v>17</v>
      </c>
      <c r="F10" s="14" t="s">
        <v>21</v>
      </c>
      <c r="G10" s="14" t="s">
        <v>19</v>
      </c>
      <c r="H10" s="16">
        <v>122.0</v>
      </c>
      <c r="I10" s="17">
        <v>1.1090461E7</v>
      </c>
      <c r="J10" s="18"/>
      <c r="K10" s="18"/>
      <c r="L10" s="18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13">
        <v>46266.0</v>
      </c>
      <c r="B11" s="14" t="s">
        <v>14</v>
      </c>
      <c r="C11" s="14" t="s">
        <v>15</v>
      </c>
      <c r="D11" s="15" t="s">
        <v>22</v>
      </c>
      <c r="E11" s="14" t="s">
        <v>17</v>
      </c>
      <c r="F11" s="14" t="s">
        <v>21</v>
      </c>
      <c r="G11" s="14" t="s">
        <v>19</v>
      </c>
      <c r="H11" s="16">
        <v>400.0</v>
      </c>
      <c r="I11" s="17">
        <v>1.1093624E7</v>
      </c>
      <c r="J11" s="18"/>
      <c r="K11" s="18"/>
      <c r="L11" s="18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13">
        <v>46266.0</v>
      </c>
      <c r="B12" s="14" t="s">
        <v>14</v>
      </c>
      <c r="C12" s="14" t="s">
        <v>15</v>
      </c>
      <c r="D12" s="15" t="s">
        <v>23</v>
      </c>
      <c r="E12" s="14" t="s">
        <v>17</v>
      </c>
      <c r="F12" s="14" t="s">
        <v>21</v>
      </c>
      <c r="G12" s="14" t="s">
        <v>19</v>
      </c>
      <c r="H12" s="16">
        <v>132.0</v>
      </c>
      <c r="I12" s="17">
        <v>1.1093756E7</v>
      </c>
      <c r="J12" s="18"/>
      <c r="K12" s="18"/>
      <c r="L12" s="18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13">
        <v>46268.0</v>
      </c>
      <c r="B13" s="14" t="s">
        <v>14</v>
      </c>
      <c r="C13" s="14" t="s">
        <v>15</v>
      </c>
      <c r="D13" s="15" t="s">
        <v>24</v>
      </c>
      <c r="E13" s="14" t="s">
        <v>17</v>
      </c>
      <c r="F13" s="14" t="s">
        <v>21</v>
      </c>
      <c r="G13" s="14" t="s">
        <v>19</v>
      </c>
      <c r="H13" s="16">
        <v>109.0</v>
      </c>
      <c r="I13" s="17">
        <v>1.1093865E7</v>
      </c>
      <c r="J13" s="18"/>
      <c r="K13" s="18"/>
      <c r="L13" s="18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0" customHeight="1">
      <c r="A14" s="13">
        <v>46268.0</v>
      </c>
      <c r="B14" s="14" t="s">
        <v>14</v>
      </c>
      <c r="C14" s="14" t="s">
        <v>15</v>
      </c>
      <c r="D14" s="15" t="s">
        <v>25</v>
      </c>
      <c r="E14" s="14" t="s">
        <v>17</v>
      </c>
      <c r="F14" s="14" t="s">
        <v>21</v>
      </c>
      <c r="G14" s="14" t="s">
        <v>19</v>
      </c>
      <c r="H14" s="16">
        <v>252.0</v>
      </c>
      <c r="I14" s="17">
        <v>1.1094117E7</v>
      </c>
      <c r="J14" s="18"/>
      <c r="K14" s="18"/>
      <c r="L14" s="18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0" customHeight="1">
      <c r="A15" s="13">
        <v>46268.0</v>
      </c>
      <c r="B15" s="14" t="s">
        <v>14</v>
      </c>
      <c r="C15" s="14" t="s">
        <v>15</v>
      </c>
      <c r="D15" s="15" t="s">
        <v>26</v>
      </c>
      <c r="E15" s="14" t="s">
        <v>17</v>
      </c>
      <c r="F15" s="14" t="s">
        <v>21</v>
      </c>
      <c r="G15" s="14" t="s">
        <v>19</v>
      </c>
      <c r="H15" s="16">
        <v>117.0</v>
      </c>
      <c r="I15" s="17">
        <v>1.1094235E7</v>
      </c>
      <c r="J15" s="18"/>
      <c r="K15" s="18"/>
      <c r="L15" s="18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0" customHeight="1">
      <c r="A16" s="13">
        <v>46268.0</v>
      </c>
      <c r="B16" s="14" t="s">
        <v>14</v>
      </c>
      <c r="C16" s="14" t="s">
        <v>15</v>
      </c>
      <c r="D16" s="15" t="s">
        <v>27</v>
      </c>
      <c r="E16" s="14" t="s">
        <v>17</v>
      </c>
      <c r="F16" s="14" t="s">
        <v>21</v>
      </c>
      <c r="G16" s="14" t="s">
        <v>19</v>
      </c>
      <c r="H16" s="16">
        <v>41.0</v>
      </c>
      <c r="I16" s="17">
        <v>1.1094276E7</v>
      </c>
      <c r="J16" s="18"/>
      <c r="K16" s="18"/>
      <c r="L16" s="18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0" customHeight="1">
      <c r="A17" s="13">
        <v>46266.0</v>
      </c>
      <c r="B17" s="14" t="s">
        <v>14</v>
      </c>
      <c r="C17" s="14" t="s">
        <v>15</v>
      </c>
      <c r="D17" s="15" t="s">
        <v>28</v>
      </c>
      <c r="E17" s="14" t="s">
        <v>17</v>
      </c>
      <c r="F17" s="14" t="s">
        <v>21</v>
      </c>
      <c r="G17" s="14" t="s">
        <v>19</v>
      </c>
      <c r="H17" s="16">
        <v>63.0</v>
      </c>
      <c r="I17" s="17">
        <v>1.1094339E7</v>
      </c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0" customHeight="1">
      <c r="A18" s="13">
        <v>46272.0</v>
      </c>
      <c r="B18" s="14" t="s">
        <v>14</v>
      </c>
      <c r="C18" s="14" t="s">
        <v>15</v>
      </c>
      <c r="D18" s="15" t="s">
        <v>26</v>
      </c>
      <c r="E18" s="14" t="s">
        <v>17</v>
      </c>
      <c r="F18" s="14" t="s">
        <v>21</v>
      </c>
      <c r="G18" s="14" t="s">
        <v>19</v>
      </c>
      <c r="H18" s="16">
        <v>30.0</v>
      </c>
      <c r="I18" s="17">
        <v>1.1096407E7</v>
      </c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0" customHeight="1">
      <c r="A19" s="13">
        <v>46272.0</v>
      </c>
      <c r="B19" s="14" t="s">
        <v>14</v>
      </c>
      <c r="C19" s="14" t="s">
        <v>15</v>
      </c>
      <c r="D19" s="15" t="s">
        <v>29</v>
      </c>
      <c r="E19" s="14" t="s">
        <v>17</v>
      </c>
      <c r="F19" s="14" t="s">
        <v>21</v>
      </c>
      <c r="G19" s="14" t="s">
        <v>19</v>
      </c>
      <c r="H19" s="16">
        <v>145.0</v>
      </c>
      <c r="I19" s="17">
        <v>1.1096702E7</v>
      </c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0" customHeight="1">
      <c r="A20" s="13">
        <v>46272.0</v>
      </c>
      <c r="B20" s="14" t="s">
        <v>14</v>
      </c>
      <c r="C20" s="14" t="s">
        <v>15</v>
      </c>
      <c r="D20" s="15" t="s">
        <v>29</v>
      </c>
      <c r="E20" s="14" t="s">
        <v>17</v>
      </c>
      <c r="F20" s="14" t="s">
        <v>21</v>
      </c>
      <c r="G20" s="14" t="s">
        <v>19</v>
      </c>
      <c r="H20" s="16">
        <v>662.0</v>
      </c>
      <c r="I20" s="17">
        <v>1.1097364E7</v>
      </c>
      <c r="J20" s="18"/>
      <c r="K20" s="18"/>
      <c r="L20" s="18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0" customHeight="1">
      <c r="A21" s="13">
        <v>46272.0</v>
      </c>
      <c r="B21" s="14" t="s">
        <v>14</v>
      </c>
      <c r="C21" s="14" t="s">
        <v>15</v>
      </c>
      <c r="D21" s="15" t="s">
        <v>20</v>
      </c>
      <c r="E21" s="14" t="s">
        <v>17</v>
      </c>
      <c r="F21" s="14" t="s">
        <v>21</v>
      </c>
      <c r="G21" s="14" t="s">
        <v>19</v>
      </c>
      <c r="H21" s="16">
        <v>92.0</v>
      </c>
      <c r="I21" s="17">
        <v>1.1097457E7</v>
      </c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0" customHeight="1">
      <c r="A22" s="13">
        <v>46273.0</v>
      </c>
      <c r="B22" s="14" t="s">
        <v>14</v>
      </c>
      <c r="C22" s="14" t="s">
        <v>15</v>
      </c>
      <c r="D22" s="15" t="s">
        <v>30</v>
      </c>
      <c r="E22" s="14" t="s">
        <v>17</v>
      </c>
      <c r="F22" s="14" t="s">
        <v>21</v>
      </c>
      <c r="G22" s="14" t="s">
        <v>19</v>
      </c>
      <c r="H22" s="16">
        <v>234.0</v>
      </c>
      <c r="I22" s="17">
        <v>1.1100342E7</v>
      </c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0" customHeight="1">
      <c r="A23" s="13">
        <v>46274.0</v>
      </c>
      <c r="B23" s="14" t="s">
        <v>14</v>
      </c>
      <c r="C23" s="14" t="s">
        <v>15</v>
      </c>
      <c r="D23" s="15" t="s">
        <v>31</v>
      </c>
      <c r="E23" s="14" t="s">
        <v>17</v>
      </c>
      <c r="F23" s="14" t="s">
        <v>21</v>
      </c>
      <c r="G23" s="14" t="s">
        <v>19</v>
      </c>
      <c r="H23" s="16">
        <v>82.0</v>
      </c>
      <c r="I23" s="17">
        <v>1.1103038E7</v>
      </c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0" customHeight="1">
      <c r="A24" s="13">
        <v>46274.0</v>
      </c>
      <c r="B24" s="14" t="s">
        <v>14</v>
      </c>
      <c r="C24" s="14" t="s">
        <v>15</v>
      </c>
      <c r="D24" s="15" t="s">
        <v>25</v>
      </c>
      <c r="E24" s="14" t="s">
        <v>17</v>
      </c>
      <c r="F24" s="14" t="s">
        <v>21</v>
      </c>
      <c r="G24" s="14" t="s">
        <v>19</v>
      </c>
      <c r="H24" s="16">
        <v>130.0</v>
      </c>
      <c r="I24" s="17">
        <v>1.1103168E7</v>
      </c>
      <c r="J24" s="18"/>
      <c r="K24" s="18"/>
      <c r="L24" s="18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0" customHeight="1">
      <c r="A25" s="13">
        <v>46275.0</v>
      </c>
      <c r="B25" s="14" t="s">
        <v>14</v>
      </c>
      <c r="C25" s="14" t="s">
        <v>15</v>
      </c>
      <c r="D25" s="15" t="s">
        <v>32</v>
      </c>
      <c r="E25" s="14" t="s">
        <v>17</v>
      </c>
      <c r="F25" s="14" t="s">
        <v>21</v>
      </c>
      <c r="G25" s="14" t="s">
        <v>19</v>
      </c>
      <c r="H25" s="16">
        <v>243.0</v>
      </c>
      <c r="I25" s="17">
        <v>1.1103411E7</v>
      </c>
      <c r="J25" s="18"/>
      <c r="K25" s="18"/>
      <c r="L25" s="18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0" customHeight="1">
      <c r="A26" s="13">
        <v>46275.0</v>
      </c>
      <c r="B26" s="14" t="s">
        <v>14</v>
      </c>
      <c r="C26" s="14" t="s">
        <v>15</v>
      </c>
      <c r="D26" s="15" t="s">
        <v>33</v>
      </c>
      <c r="E26" s="14" t="s">
        <v>17</v>
      </c>
      <c r="F26" s="14" t="s">
        <v>21</v>
      </c>
      <c r="G26" s="14" t="s">
        <v>19</v>
      </c>
      <c r="H26" s="16">
        <v>20.0</v>
      </c>
      <c r="I26" s="17">
        <v>1.1103431E7</v>
      </c>
      <c r="J26" s="18"/>
      <c r="K26" s="18"/>
      <c r="L26" s="1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0" customHeight="1">
      <c r="A27" s="13">
        <v>46276.0</v>
      </c>
      <c r="B27" s="14" t="s">
        <v>14</v>
      </c>
      <c r="C27" s="14" t="s">
        <v>15</v>
      </c>
      <c r="D27" s="15" t="s">
        <v>20</v>
      </c>
      <c r="E27" s="14" t="s">
        <v>17</v>
      </c>
      <c r="F27" s="14" t="s">
        <v>21</v>
      </c>
      <c r="G27" s="14" t="s">
        <v>19</v>
      </c>
      <c r="H27" s="16">
        <v>120.0</v>
      </c>
      <c r="I27" s="17">
        <v>1.1105229E7</v>
      </c>
      <c r="J27" s="18"/>
      <c r="K27" s="18"/>
      <c r="L27" s="18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0" customHeight="1">
      <c r="A28" s="13">
        <v>46276.0</v>
      </c>
      <c r="B28" s="14" t="s">
        <v>14</v>
      </c>
      <c r="C28" s="14" t="s">
        <v>15</v>
      </c>
      <c r="D28" s="15" t="s">
        <v>27</v>
      </c>
      <c r="E28" s="14" t="s">
        <v>17</v>
      </c>
      <c r="F28" s="14" t="s">
        <v>21</v>
      </c>
      <c r="G28" s="14" t="s">
        <v>19</v>
      </c>
      <c r="H28" s="16">
        <v>40.0</v>
      </c>
      <c r="I28" s="17">
        <v>1.1107381E7</v>
      </c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0" customHeight="1">
      <c r="A29" s="13">
        <v>46279.0</v>
      </c>
      <c r="B29" s="14" t="s">
        <v>14</v>
      </c>
      <c r="C29" s="14" t="s">
        <v>15</v>
      </c>
      <c r="D29" s="15" t="s">
        <v>20</v>
      </c>
      <c r="E29" s="14" t="s">
        <v>17</v>
      </c>
      <c r="F29" s="14" t="s">
        <v>21</v>
      </c>
      <c r="G29" s="14" t="s">
        <v>19</v>
      </c>
      <c r="H29" s="16">
        <v>76.0</v>
      </c>
      <c r="I29" s="17">
        <v>1.1108001E7</v>
      </c>
      <c r="J29" s="18"/>
      <c r="K29" s="18"/>
      <c r="L29" s="1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13">
        <v>46279.0</v>
      </c>
      <c r="B30" s="14" t="s">
        <v>14</v>
      </c>
      <c r="C30" s="14" t="s">
        <v>15</v>
      </c>
      <c r="D30" s="15" t="s">
        <v>34</v>
      </c>
      <c r="E30" s="14" t="s">
        <v>17</v>
      </c>
      <c r="F30" s="14" t="s">
        <v>21</v>
      </c>
      <c r="G30" s="14" t="s">
        <v>19</v>
      </c>
      <c r="H30" s="16">
        <v>80.0</v>
      </c>
      <c r="I30" s="17">
        <v>1.1108081E7</v>
      </c>
      <c r="J30" s="18"/>
      <c r="K30" s="18"/>
      <c r="L30" s="18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0" customHeight="1">
      <c r="A31" s="13">
        <v>46279.0</v>
      </c>
      <c r="B31" s="14" t="s">
        <v>14</v>
      </c>
      <c r="C31" s="14" t="s">
        <v>15</v>
      </c>
      <c r="D31" s="15" t="s">
        <v>16</v>
      </c>
      <c r="E31" s="14" t="s">
        <v>17</v>
      </c>
      <c r="F31" s="14" t="s">
        <v>21</v>
      </c>
      <c r="G31" s="14" t="s">
        <v>19</v>
      </c>
      <c r="H31" s="16">
        <v>350.0</v>
      </c>
      <c r="I31" s="17">
        <v>1.1108431E7</v>
      </c>
      <c r="J31" s="18"/>
      <c r="K31" s="18"/>
      <c r="L31" s="1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0" customHeight="1">
      <c r="A32" s="13">
        <v>46279.0</v>
      </c>
      <c r="B32" s="14" t="s">
        <v>14</v>
      </c>
      <c r="C32" s="14" t="s">
        <v>15</v>
      </c>
      <c r="D32" s="15" t="s">
        <v>35</v>
      </c>
      <c r="E32" s="14" t="s">
        <v>17</v>
      </c>
      <c r="F32" s="14" t="s">
        <v>21</v>
      </c>
      <c r="G32" s="14" t="s">
        <v>19</v>
      </c>
      <c r="H32" s="16">
        <v>115.0</v>
      </c>
      <c r="I32" s="17">
        <v>1.1108547E7</v>
      </c>
      <c r="J32" s="18"/>
      <c r="K32" s="18"/>
      <c r="L32" s="1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0" customHeight="1">
      <c r="A33" s="13">
        <v>46279.0</v>
      </c>
      <c r="B33" s="14" t="s">
        <v>14</v>
      </c>
      <c r="C33" s="14" t="s">
        <v>15</v>
      </c>
      <c r="D33" s="15" t="s">
        <v>28</v>
      </c>
      <c r="E33" s="14" t="s">
        <v>17</v>
      </c>
      <c r="F33" s="14" t="s">
        <v>21</v>
      </c>
      <c r="G33" s="14" t="s">
        <v>19</v>
      </c>
      <c r="H33" s="16">
        <v>55.0</v>
      </c>
      <c r="I33" s="17">
        <v>1.1108602E7</v>
      </c>
      <c r="J33" s="18"/>
      <c r="K33" s="18"/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0" customHeight="1">
      <c r="A34" s="13">
        <v>46281.0</v>
      </c>
      <c r="B34" s="14" t="s">
        <v>14</v>
      </c>
      <c r="C34" s="14" t="s">
        <v>15</v>
      </c>
      <c r="D34" s="15" t="s">
        <v>36</v>
      </c>
      <c r="E34" s="14" t="s">
        <v>37</v>
      </c>
      <c r="F34" s="14" t="s">
        <v>21</v>
      </c>
      <c r="G34" s="14" t="s">
        <v>38</v>
      </c>
      <c r="H34" s="16">
        <v>100.0</v>
      </c>
      <c r="I34" s="17">
        <v>1.110936E7</v>
      </c>
      <c r="J34" s="18"/>
      <c r="K34" s="18"/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13">
        <v>46290.0</v>
      </c>
      <c r="B35" s="14" t="s">
        <v>14</v>
      </c>
      <c r="C35" s="14" t="s">
        <v>15</v>
      </c>
      <c r="D35" s="15" t="s">
        <v>39</v>
      </c>
      <c r="E35" s="14" t="s">
        <v>17</v>
      </c>
      <c r="F35" s="14" t="s">
        <v>21</v>
      </c>
      <c r="G35" s="14" t="s">
        <v>19</v>
      </c>
      <c r="H35" s="16">
        <v>40.0</v>
      </c>
      <c r="I35" s="17" t="s">
        <v>40</v>
      </c>
      <c r="J35" s="18"/>
      <c r="K35" s="18"/>
      <c r="L35" s="1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0" customHeight="1">
      <c r="A36" s="20">
        <v>46294.0</v>
      </c>
      <c r="B36" s="21" t="s">
        <v>14</v>
      </c>
      <c r="C36" s="22" t="s">
        <v>15</v>
      </c>
      <c r="D36" s="23" t="s">
        <v>31</v>
      </c>
      <c r="E36" s="21" t="s">
        <v>17</v>
      </c>
      <c r="F36" s="22" t="s">
        <v>21</v>
      </c>
      <c r="G36" s="22" t="s">
        <v>19</v>
      </c>
      <c r="H36" s="24">
        <v>80.0</v>
      </c>
      <c r="I36" s="25">
        <v>1.1109755E7</v>
      </c>
      <c r="J36" s="18"/>
      <c r="K36" s="18"/>
      <c r="L36" s="1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0" customHeight="1">
      <c r="A37" s="20">
        <v>46294.0</v>
      </c>
      <c r="B37" s="21" t="s">
        <v>14</v>
      </c>
      <c r="C37" s="22" t="s">
        <v>15</v>
      </c>
      <c r="D37" s="23" t="s">
        <v>25</v>
      </c>
      <c r="E37" s="21" t="s">
        <v>17</v>
      </c>
      <c r="F37" s="22" t="s">
        <v>21</v>
      </c>
      <c r="G37" s="22" t="s">
        <v>19</v>
      </c>
      <c r="H37" s="24">
        <v>120.0</v>
      </c>
      <c r="I37" s="25">
        <v>1.1109875E7</v>
      </c>
      <c r="J37" s="18"/>
      <c r="K37" s="18"/>
      <c r="L37" s="1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0" customHeight="1">
      <c r="A38" s="20">
        <v>46294.0</v>
      </c>
      <c r="B38" s="21" t="s">
        <v>14</v>
      </c>
      <c r="C38" s="22" t="s">
        <v>15</v>
      </c>
      <c r="D38" s="23" t="s">
        <v>24</v>
      </c>
      <c r="E38" s="21" t="s">
        <v>17</v>
      </c>
      <c r="F38" s="22" t="s">
        <v>21</v>
      </c>
      <c r="G38" s="22" t="s">
        <v>19</v>
      </c>
      <c r="H38" s="24">
        <v>52.0</v>
      </c>
      <c r="I38" s="25">
        <v>1.1109927E7</v>
      </c>
      <c r="J38" s="18"/>
      <c r="K38" s="18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0" customHeight="1">
      <c r="A39" s="20">
        <v>46294.0</v>
      </c>
      <c r="B39" s="21" t="s">
        <v>14</v>
      </c>
      <c r="C39" s="22" t="s">
        <v>15</v>
      </c>
      <c r="D39" s="23" t="s">
        <v>41</v>
      </c>
      <c r="E39" s="21" t="s">
        <v>17</v>
      </c>
      <c r="F39" s="22" t="s">
        <v>21</v>
      </c>
      <c r="G39" s="22" t="s">
        <v>19</v>
      </c>
      <c r="H39" s="24">
        <v>622.0</v>
      </c>
      <c r="I39" s="25">
        <v>1.1110785E7</v>
      </c>
      <c r="J39" s="18"/>
      <c r="K39" s="18"/>
      <c r="L39" s="1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0" customHeight="1">
      <c r="A40" s="20">
        <v>46295.0</v>
      </c>
      <c r="B40" s="21" t="s">
        <v>14</v>
      </c>
      <c r="C40" s="22" t="s">
        <v>15</v>
      </c>
      <c r="D40" s="23" t="s">
        <v>34</v>
      </c>
      <c r="E40" s="21" t="s">
        <v>17</v>
      </c>
      <c r="F40" s="22" t="s">
        <v>21</v>
      </c>
      <c r="G40" s="22" t="s">
        <v>19</v>
      </c>
      <c r="H40" s="24">
        <v>50.0</v>
      </c>
      <c r="I40" s="25">
        <v>1.1112287E7</v>
      </c>
      <c r="J40" s="18"/>
      <c r="K40" s="18"/>
      <c r="L40" s="1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0" customHeight="1">
      <c r="A41" s="20">
        <v>46295.0</v>
      </c>
      <c r="B41" s="21" t="s">
        <v>14</v>
      </c>
      <c r="C41" s="22" t="s">
        <v>15</v>
      </c>
      <c r="D41" s="23" t="s">
        <v>28</v>
      </c>
      <c r="E41" s="21" t="s">
        <v>17</v>
      </c>
      <c r="F41" s="22" t="s">
        <v>21</v>
      </c>
      <c r="G41" s="22" t="s">
        <v>19</v>
      </c>
      <c r="H41" s="24">
        <v>37.0</v>
      </c>
      <c r="I41" s="25">
        <v>1.1112324E7</v>
      </c>
      <c r="J41" s="18"/>
      <c r="K41" s="18"/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0" customHeight="1">
      <c r="A42" s="20">
        <v>46295.0</v>
      </c>
      <c r="B42" s="21" t="s">
        <v>14</v>
      </c>
      <c r="C42" s="22" t="s">
        <v>15</v>
      </c>
      <c r="D42" s="23" t="s">
        <v>42</v>
      </c>
      <c r="E42" s="21" t="s">
        <v>17</v>
      </c>
      <c r="F42" s="22" t="s">
        <v>21</v>
      </c>
      <c r="G42" s="22" t="s">
        <v>19</v>
      </c>
      <c r="H42" s="24">
        <v>221.0</v>
      </c>
      <c r="I42" s="25">
        <v>1.1112544E7</v>
      </c>
      <c r="J42" s="18"/>
      <c r="K42" s="18"/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0" customHeight="1">
      <c r="A43" s="20">
        <v>46295.0</v>
      </c>
      <c r="B43" s="21" t="s">
        <v>14</v>
      </c>
      <c r="C43" s="22" t="s">
        <v>15</v>
      </c>
      <c r="D43" s="23" t="s">
        <v>24</v>
      </c>
      <c r="E43" s="21" t="s">
        <v>17</v>
      </c>
      <c r="F43" s="22" t="s">
        <v>21</v>
      </c>
      <c r="G43" s="22" t="s">
        <v>19</v>
      </c>
      <c r="H43" s="24">
        <v>52.0</v>
      </c>
      <c r="I43" s="25">
        <v>1.1109927E7</v>
      </c>
      <c r="J43" s="18"/>
      <c r="K43" s="18"/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0" customHeight="1">
      <c r="A44" s="20">
        <v>46295.0</v>
      </c>
      <c r="B44" s="21" t="s">
        <v>14</v>
      </c>
      <c r="C44" s="22" t="s">
        <v>15</v>
      </c>
      <c r="D44" s="23" t="s">
        <v>43</v>
      </c>
      <c r="E44" s="21" t="s">
        <v>17</v>
      </c>
      <c r="F44" s="22" t="s">
        <v>21</v>
      </c>
      <c r="G44" s="22" t="s">
        <v>19</v>
      </c>
      <c r="H44" s="24">
        <v>200.0</v>
      </c>
      <c r="I44" s="25">
        <v>1.1112237E7</v>
      </c>
      <c r="J44" s="18"/>
      <c r="K44" s="18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0" customHeight="1">
      <c r="A45" s="20">
        <v>46295.0</v>
      </c>
      <c r="B45" s="21" t="s">
        <v>14</v>
      </c>
      <c r="C45" s="22" t="s">
        <v>15</v>
      </c>
      <c r="D45" s="23" t="s">
        <v>31</v>
      </c>
      <c r="E45" s="21" t="s">
        <v>17</v>
      </c>
      <c r="F45" s="22" t="s">
        <v>21</v>
      </c>
      <c r="G45" s="22" t="s">
        <v>19</v>
      </c>
      <c r="H45" s="24">
        <v>76.0</v>
      </c>
      <c r="I45" s="25">
        <v>1.111262E7</v>
      </c>
      <c r="J45" s="18"/>
      <c r="K45" s="18"/>
      <c r="L45" s="1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30.75" customHeight="1">
      <c r="A46" s="26" t="s">
        <v>44</v>
      </c>
      <c r="B46" s="27"/>
      <c r="C46" s="27"/>
      <c r="D46" s="27"/>
      <c r="E46" s="27"/>
      <c r="F46" s="27"/>
      <c r="G46" s="27"/>
      <c r="H46" s="27"/>
      <c r="I46" s="28"/>
      <c r="J46" s="18"/>
      <c r="K46" s="18"/>
      <c r="L46" s="18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0" customHeight="1">
      <c r="A47" s="29"/>
      <c r="B47" s="29"/>
      <c r="C47" s="29"/>
      <c r="D47" s="29"/>
      <c r="E47" s="29"/>
      <c r="F47" s="29"/>
      <c r="G47" s="29"/>
      <c r="H47" s="29"/>
      <c r="I47" s="29"/>
      <c r="J47" s="18"/>
      <c r="K47" s="18"/>
      <c r="L47" s="1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0" customHeight="1">
      <c r="A48" s="29"/>
      <c r="B48" s="29"/>
      <c r="C48" s="29"/>
      <c r="D48" s="29"/>
      <c r="E48" s="29"/>
      <c r="F48" s="29"/>
      <c r="G48" s="29"/>
      <c r="H48" s="30"/>
      <c r="I48" s="29"/>
      <c r="J48" s="18"/>
      <c r="K48" s="18"/>
      <c r="L48" s="1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F49" s="31" t="s">
        <v>45</v>
      </c>
      <c r="G49" s="28"/>
      <c r="H49" s="32" t="str">
        <f>SUM(H9:H45)</f>
        <v>5,560</v>
      </c>
    </row>
    <row r="50" ht="14.25" customHeight="1">
      <c r="H50" s="3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mergeCells count="4">
    <mergeCell ref="A1:B4"/>
    <mergeCell ref="C1:H4"/>
    <mergeCell ref="F49:G49"/>
    <mergeCell ref="A46:I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2" width="11.13"/>
    <col customWidth="1" min="3" max="3" width="19.88"/>
    <col customWidth="1" min="4" max="4" width="16.5"/>
    <col customWidth="1" min="5" max="5" width="9.38"/>
    <col customWidth="1" min="6" max="6" width="20.13"/>
    <col customWidth="1" min="7" max="7" width="11.5"/>
    <col customWidth="1" min="8" max="8" width="13.75"/>
    <col customWidth="1" min="9" max="26" width="9.38"/>
  </cols>
  <sheetData>
    <row r="1" ht="14.25" customHeight="1">
      <c r="A1" s="1"/>
      <c r="B1" s="2"/>
      <c r="C1" s="1" t="s">
        <v>0</v>
      </c>
      <c r="D1" s="3"/>
      <c r="E1" s="3"/>
      <c r="F1" s="3"/>
      <c r="G1" s="2"/>
      <c r="H1" s="4" t="s">
        <v>1</v>
      </c>
    </row>
    <row r="2" ht="14.25" customHeight="1">
      <c r="A2" s="5"/>
      <c r="B2" s="6"/>
      <c r="C2" s="5"/>
      <c r="G2" s="6"/>
      <c r="H2" s="7" t="s">
        <v>2</v>
      </c>
    </row>
    <row r="3" ht="14.25" customHeight="1">
      <c r="A3" s="5"/>
      <c r="B3" s="6"/>
      <c r="C3" s="5"/>
      <c r="G3" s="6"/>
      <c r="H3" s="7" t="s">
        <v>3</v>
      </c>
    </row>
    <row r="4" ht="14.25" customHeight="1">
      <c r="A4" s="8"/>
      <c r="B4" s="9"/>
      <c r="C4" s="8"/>
      <c r="D4" s="10"/>
      <c r="E4" s="10"/>
      <c r="F4" s="10"/>
      <c r="G4" s="9"/>
      <c r="H4" s="7" t="s">
        <v>46</v>
      </c>
    </row>
    <row r="5" ht="14.25" customHeight="1"/>
    <row r="6" ht="14.25" customHeight="1"/>
    <row r="7" ht="27.0" customHeight="1">
      <c r="A7" s="11" t="s">
        <v>5</v>
      </c>
      <c r="B7" s="11" t="s">
        <v>6</v>
      </c>
      <c r="C7" s="11" t="s">
        <v>7</v>
      </c>
      <c r="D7" s="11" t="s">
        <v>47</v>
      </c>
      <c r="E7" s="11" t="s">
        <v>48</v>
      </c>
      <c r="F7" s="11" t="s">
        <v>11</v>
      </c>
      <c r="G7" s="11" t="s">
        <v>12</v>
      </c>
      <c r="H7" s="34" t="s">
        <v>49</v>
      </c>
    </row>
    <row r="8" ht="24.0" customHeight="1">
      <c r="A8" s="35">
        <v>46275.0</v>
      </c>
      <c r="B8" s="36" t="s">
        <v>14</v>
      </c>
      <c r="C8" s="36" t="s">
        <v>15</v>
      </c>
      <c r="D8" s="36">
        <v>373.58</v>
      </c>
      <c r="E8" s="36">
        <v>1.5</v>
      </c>
      <c r="F8" s="36" t="s">
        <v>50</v>
      </c>
      <c r="G8" s="37" t="str">
        <f t="shared" ref="G8:G17" si="1">(D8*E8)</f>
        <v>560.37</v>
      </c>
      <c r="H8" s="38" t="str">
        <f t="shared" ref="H8:H14" si="2">G8</f>
        <v>560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4.0" customHeight="1">
      <c r="A9" s="35">
        <v>46276.0</v>
      </c>
      <c r="B9" s="36" t="s">
        <v>14</v>
      </c>
      <c r="C9" s="36" t="s">
        <v>15</v>
      </c>
      <c r="D9" s="36">
        <v>283.805</v>
      </c>
      <c r="E9" s="36">
        <v>1.5</v>
      </c>
      <c r="F9" s="36" t="s">
        <v>50</v>
      </c>
      <c r="G9" s="37" t="str">
        <f t="shared" si="1"/>
        <v>425.71</v>
      </c>
      <c r="H9" s="38" t="str">
        <f t="shared" si="2"/>
        <v>426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4.0" customHeight="1">
      <c r="A10" s="35">
        <v>46286.0</v>
      </c>
      <c r="B10" s="36" t="s">
        <v>14</v>
      </c>
      <c r="C10" s="36" t="s">
        <v>15</v>
      </c>
      <c r="D10" s="36">
        <v>298.955</v>
      </c>
      <c r="E10" s="36">
        <v>1.5</v>
      </c>
      <c r="F10" s="36" t="s">
        <v>50</v>
      </c>
      <c r="G10" s="37" t="str">
        <f t="shared" si="1"/>
        <v>448.43</v>
      </c>
      <c r="H10" s="38" t="str">
        <f t="shared" si="2"/>
        <v>448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4.0" customHeight="1">
      <c r="A11" s="35">
        <v>46287.0</v>
      </c>
      <c r="B11" s="36" t="s">
        <v>14</v>
      </c>
      <c r="C11" s="36" t="s">
        <v>15</v>
      </c>
      <c r="D11" s="36">
        <v>328.885</v>
      </c>
      <c r="E11" s="36">
        <v>1.5</v>
      </c>
      <c r="F11" s="36" t="s">
        <v>50</v>
      </c>
      <c r="G11" s="37" t="str">
        <f t="shared" si="1"/>
        <v>493.33</v>
      </c>
      <c r="H11" s="38" t="str">
        <f t="shared" si="2"/>
        <v>493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4.0" customHeight="1">
      <c r="A12" s="35">
        <v>46288.0</v>
      </c>
      <c r="B12" s="36" t="s">
        <v>14</v>
      </c>
      <c r="C12" s="36" t="s">
        <v>15</v>
      </c>
      <c r="D12" s="36">
        <v>15.95</v>
      </c>
      <c r="E12" s="36">
        <v>1.5</v>
      </c>
      <c r="F12" s="36" t="s">
        <v>50</v>
      </c>
      <c r="G12" s="37" t="str">
        <f t="shared" si="1"/>
        <v>23.93</v>
      </c>
      <c r="H12" s="38" t="str">
        <f t="shared" si="2"/>
        <v>24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35">
        <v>46289.0</v>
      </c>
      <c r="B13" s="36" t="s">
        <v>14</v>
      </c>
      <c r="C13" s="36" t="s">
        <v>15</v>
      </c>
      <c r="D13" s="36">
        <v>373.935</v>
      </c>
      <c r="E13" s="36">
        <v>1.5</v>
      </c>
      <c r="F13" s="36" t="s">
        <v>50</v>
      </c>
      <c r="G13" s="37" t="str">
        <f t="shared" si="1"/>
        <v>560.90</v>
      </c>
      <c r="H13" s="38" t="str">
        <f t="shared" si="2"/>
        <v>561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4.0" customHeight="1">
      <c r="A14" s="35">
        <v>46290.0</v>
      </c>
      <c r="B14" s="36" t="s">
        <v>14</v>
      </c>
      <c r="C14" s="36" t="s">
        <v>15</v>
      </c>
      <c r="D14" s="36">
        <v>239.185</v>
      </c>
      <c r="E14" s="36">
        <v>0.0</v>
      </c>
      <c r="F14" s="36" t="s">
        <v>50</v>
      </c>
      <c r="G14" s="37" t="str">
        <f t="shared" si="1"/>
        <v>0.00</v>
      </c>
      <c r="H14" s="38" t="str">
        <f t="shared" si="2"/>
        <v>0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6.25" customHeight="1">
      <c r="A15" s="39">
        <v>46293.0</v>
      </c>
      <c r="B15" s="40" t="s">
        <v>14</v>
      </c>
      <c r="C15" s="40" t="s">
        <v>15</v>
      </c>
      <c r="D15" s="40">
        <v>424.3</v>
      </c>
      <c r="E15" s="40">
        <v>0.0</v>
      </c>
      <c r="F15" s="41" t="s">
        <v>50</v>
      </c>
      <c r="G15" s="37" t="str">
        <f t="shared" si="1"/>
        <v>0.00</v>
      </c>
      <c r="H15" s="42">
        <v>0.0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6.25" customHeight="1">
      <c r="A16" s="39">
        <v>46294.0</v>
      </c>
      <c r="B16" s="40" t="s">
        <v>14</v>
      </c>
      <c r="C16" s="40" t="s">
        <v>15</v>
      </c>
      <c r="D16" s="40">
        <v>448.79</v>
      </c>
      <c r="E16" s="40">
        <v>0.0</v>
      </c>
      <c r="F16" s="43" t="s">
        <v>50</v>
      </c>
      <c r="G16" s="37" t="str">
        <f t="shared" si="1"/>
        <v>0.00</v>
      </c>
      <c r="H16" s="42">
        <v>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6.25" customHeight="1">
      <c r="A17" s="39">
        <v>46295.0</v>
      </c>
      <c r="B17" s="40" t="s">
        <v>14</v>
      </c>
      <c r="C17" s="40" t="s">
        <v>15</v>
      </c>
      <c r="D17" s="40">
        <v>329.05</v>
      </c>
      <c r="E17" s="40">
        <v>0.0</v>
      </c>
      <c r="F17" s="43" t="s">
        <v>50</v>
      </c>
      <c r="G17" s="37" t="str">
        <f t="shared" si="1"/>
        <v>0.00</v>
      </c>
      <c r="H17" s="42">
        <v>0.0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75" customHeight="1">
      <c r="A18" s="44" t="str">
        <f>'CONTROL GASOIL INTERNO'!A46</f>
        <v>CIERRE DEL 01/09 AL 30/09</v>
      </c>
      <c r="B18" s="27"/>
      <c r="C18" s="27"/>
      <c r="D18" s="27"/>
      <c r="E18" s="27"/>
      <c r="F18" s="27"/>
      <c r="G18" s="27"/>
      <c r="H18" s="2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29"/>
      <c r="B19" s="29"/>
      <c r="C19" s="29"/>
      <c r="D19" s="29"/>
      <c r="E19" s="29"/>
      <c r="F19" s="29"/>
      <c r="G19" s="29"/>
      <c r="H19" s="29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29"/>
      <c r="B20" s="29"/>
      <c r="C20" s="29"/>
      <c r="D20" s="29"/>
      <c r="E20" s="29"/>
      <c r="F20" s="29"/>
      <c r="G20" s="29"/>
      <c r="H20" s="29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29"/>
      <c r="B21" s="29"/>
      <c r="C21" s="29"/>
      <c r="D21" s="29"/>
      <c r="E21" s="29"/>
      <c r="F21" s="29"/>
      <c r="G21" s="29"/>
      <c r="H21" s="29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F22" s="45" t="s">
        <v>51</v>
      </c>
      <c r="G22" s="46" t="str">
        <f>SUM(H8:H18)</f>
        <v>2,513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</sheetData>
  <mergeCells count="3">
    <mergeCell ref="A1:B4"/>
    <mergeCell ref="C1:G4"/>
    <mergeCell ref="A18:H1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2.75"/>
    <col customWidth="1" min="4" max="4" width="23.5"/>
    <col customWidth="1" min="5" max="5" width="11.88"/>
    <col customWidth="1" min="6" max="6" width="16.63"/>
    <col customWidth="1" min="7" max="8" width="9.38"/>
    <col customWidth="1" min="9" max="9" width="20.0"/>
    <col customWidth="1" min="10" max="10" width="10.25"/>
    <col customWidth="1" min="11" max="11" width="14.75"/>
  </cols>
  <sheetData>
    <row r="1" ht="25.5" customHeight="1">
      <c r="A1" s="1"/>
      <c r="B1" s="2"/>
      <c r="C1" s="1" t="s">
        <v>0</v>
      </c>
      <c r="D1" s="3"/>
      <c r="E1" s="3"/>
      <c r="F1" s="3"/>
      <c r="G1" s="3"/>
      <c r="H1" s="3"/>
      <c r="I1" s="3"/>
      <c r="J1" s="2"/>
      <c r="K1" s="4" t="s">
        <v>1</v>
      </c>
    </row>
    <row r="2" ht="14.25" customHeight="1">
      <c r="A2" s="5"/>
      <c r="B2" s="6"/>
      <c r="C2" s="5"/>
      <c r="J2" s="6"/>
      <c r="K2" s="7" t="s">
        <v>2</v>
      </c>
    </row>
    <row r="3" ht="14.25" customHeight="1">
      <c r="A3" s="5"/>
      <c r="B3" s="6"/>
      <c r="C3" s="5"/>
      <c r="J3" s="6"/>
      <c r="K3" s="7" t="s">
        <v>3</v>
      </c>
    </row>
    <row r="4" ht="14.25" customHeight="1">
      <c r="A4" s="8"/>
      <c r="B4" s="9"/>
      <c r="C4" s="8"/>
      <c r="D4" s="10"/>
      <c r="E4" s="10"/>
      <c r="F4" s="10"/>
      <c r="G4" s="10"/>
      <c r="H4" s="10"/>
      <c r="I4" s="10"/>
      <c r="J4" s="9"/>
      <c r="K4" s="7" t="s">
        <v>52</v>
      </c>
    </row>
    <row r="5" ht="14.25" customHeight="1"/>
    <row r="6" ht="14.25" customHeight="1"/>
    <row r="7" ht="24.0" customHeight="1">
      <c r="A7" s="11" t="s">
        <v>53</v>
      </c>
      <c r="B7" s="11" t="s">
        <v>6</v>
      </c>
      <c r="C7" s="11" t="s">
        <v>7</v>
      </c>
      <c r="D7" s="47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48" t="s">
        <v>11</v>
      </c>
      <c r="J7" s="49" t="s">
        <v>12</v>
      </c>
      <c r="K7" s="50" t="s">
        <v>13</v>
      </c>
    </row>
    <row r="8" ht="32.25" customHeight="1">
      <c r="A8" s="51">
        <v>46294.0</v>
      </c>
      <c r="B8" s="52" t="s">
        <v>14</v>
      </c>
      <c r="C8" s="53" t="s">
        <v>15</v>
      </c>
      <c r="D8" s="40" t="s">
        <v>59</v>
      </c>
      <c r="E8" s="40">
        <v>7604797.0</v>
      </c>
      <c r="F8" s="52" t="s">
        <v>60</v>
      </c>
      <c r="G8" s="40"/>
      <c r="H8" s="40" t="s">
        <v>61</v>
      </c>
      <c r="I8" s="52" t="s">
        <v>62</v>
      </c>
      <c r="J8" s="52">
        <v>236.0</v>
      </c>
      <c r="K8" s="52">
        <v>1922.0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5.5" customHeight="1">
      <c r="A9" s="54">
        <v>46294.0</v>
      </c>
      <c r="B9" s="52" t="s">
        <v>14</v>
      </c>
      <c r="C9" s="53" t="s">
        <v>15</v>
      </c>
      <c r="D9" s="40" t="s">
        <v>63</v>
      </c>
      <c r="E9" s="40">
        <v>2.5950473E7</v>
      </c>
      <c r="F9" s="52" t="s">
        <v>60</v>
      </c>
      <c r="G9" s="55"/>
      <c r="H9" s="40" t="s">
        <v>64</v>
      </c>
      <c r="I9" s="52" t="s">
        <v>62</v>
      </c>
      <c r="J9" s="56">
        <v>365.0</v>
      </c>
      <c r="K9" s="52">
        <v>1923.0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5.5" customHeight="1">
      <c r="A10" s="54">
        <v>46294.0</v>
      </c>
      <c r="B10" s="52" t="s">
        <v>14</v>
      </c>
      <c r="C10" s="53" t="s">
        <v>15</v>
      </c>
      <c r="D10" s="40" t="s">
        <v>65</v>
      </c>
      <c r="E10" s="40">
        <v>1.5888729E7</v>
      </c>
      <c r="F10" s="52" t="s">
        <v>60</v>
      </c>
      <c r="G10" s="55"/>
      <c r="H10" s="40" t="s">
        <v>66</v>
      </c>
      <c r="I10" s="52" t="s">
        <v>62</v>
      </c>
      <c r="J10" s="56">
        <v>235.0</v>
      </c>
      <c r="K10" s="52">
        <v>1924.0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5.5" customHeight="1">
      <c r="A11" s="54">
        <v>46294.0</v>
      </c>
      <c r="B11" s="52" t="s">
        <v>14</v>
      </c>
      <c r="C11" s="53" t="s">
        <v>15</v>
      </c>
      <c r="D11" s="40" t="s">
        <v>67</v>
      </c>
      <c r="E11" s="40">
        <v>3.0299516E7</v>
      </c>
      <c r="F11" s="52" t="s">
        <v>68</v>
      </c>
      <c r="G11" s="55"/>
      <c r="H11" s="40" t="s">
        <v>69</v>
      </c>
      <c r="I11" s="52" t="s">
        <v>62</v>
      </c>
      <c r="J11" s="56">
        <v>315.0</v>
      </c>
      <c r="K11" s="52">
        <v>1925.0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5.5" customHeight="1">
      <c r="A12" s="54">
        <v>46294.0</v>
      </c>
      <c r="B12" s="52" t="s">
        <v>14</v>
      </c>
      <c r="C12" s="53" t="s">
        <v>15</v>
      </c>
      <c r="D12" s="40" t="s">
        <v>70</v>
      </c>
      <c r="E12" s="40">
        <v>1.7682381E7</v>
      </c>
      <c r="F12" s="52" t="s">
        <v>60</v>
      </c>
      <c r="G12" s="55"/>
      <c r="H12" s="40" t="s">
        <v>71</v>
      </c>
      <c r="I12" s="52" t="s">
        <v>62</v>
      </c>
      <c r="J12" s="56">
        <v>337.0</v>
      </c>
      <c r="K12" s="52">
        <v>1926.0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5.5" customHeight="1">
      <c r="A13" s="44" t="str">
        <f>'CONTROL GASOIL INTERNO'!A46</f>
        <v>CIERRE DEL 01/09 AL 30/09</v>
      </c>
      <c r="B13" s="27"/>
      <c r="C13" s="27"/>
      <c r="D13" s="27"/>
      <c r="E13" s="27"/>
      <c r="F13" s="27"/>
      <c r="G13" s="27"/>
      <c r="H13" s="27"/>
      <c r="I13" s="27"/>
      <c r="J13" s="27"/>
      <c r="K13" s="2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5.5" customHeight="1">
      <c r="A14" s="57"/>
      <c r="B14" s="58"/>
      <c r="C14" s="59"/>
      <c r="D14" s="60"/>
      <c r="E14" s="60"/>
      <c r="F14" s="58"/>
      <c r="G14" s="61"/>
      <c r="H14" s="60"/>
      <c r="I14" s="58"/>
      <c r="J14" s="62"/>
      <c r="K14" s="63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5.5" customHeight="1">
      <c r="A15" s="57"/>
      <c r="B15" s="58"/>
      <c r="C15" s="59"/>
      <c r="D15" s="60"/>
      <c r="E15" s="60"/>
      <c r="F15" s="58"/>
      <c r="G15" s="61"/>
      <c r="H15" s="60"/>
      <c r="I15" s="58"/>
      <c r="J15" s="62"/>
      <c r="K15" s="63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5.5" customHeight="1">
      <c r="A16" s="57"/>
      <c r="B16" s="58"/>
      <c r="C16" s="59"/>
      <c r="D16" s="60"/>
      <c r="E16" s="60"/>
      <c r="F16" s="58"/>
      <c r="G16" s="61"/>
      <c r="H16" s="60"/>
      <c r="I16" s="58"/>
      <c r="J16" s="62"/>
      <c r="K16" s="63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5.5" customHeight="1">
      <c r="A17" s="57"/>
      <c r="B17" s="58"/>
      <c r="C17" s="59"/>
      <c r="D17" s="60"/>
      <c r="E17" s="60"/>
      <c r="F17" s="58"/>
      <c r="G17" s="61"/>
      <c r="H17" s="60"/>
      <c r="I17" s="58"/>
      <c r="J17" s="62"/>
      <c r="K17" s="63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5.5" customHeight="1">
      <c r="A18" s="57"/>
      <c r="B18" s="58"/>
      <c r="C18" s="59"/>
      <c r="D18" s="60"/>
      <c r="E18" s="60"/>
      <c r="F18" s="58"/>
      <c r="G18" s="61"/>
      <c r="H18" s="60"/>
      <c r="I18" s="58"/>
      <c r="J18" s="62"/>
      <c r="K18" s="63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5.5" customHeight="1">
      <c r="I19" s="64" t="s">
        <v>56</v>
      </c>
      <c r="J19" s="32" t="str">
        <f>SUM(J8:J12)</f>
        <v>1,488</v>
      </c>
    </row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</sheetData>
  <mergeCells count="3">
    <mergeCell ref="A1:B4"/>
    <mergeCell ref="C1:J4"/>
    <mergeCell ref="A13:K1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9.38"/>
    <col customWidth="1" min="3" max="3" width="17.38"/>
    <col customWidth="1" min="4" max="4" width="14.75"/>
    <col customWidth="1" min="5" max="5" width="9.38"/>
    <col customWidth="1" min="6" max="6" width="11.13"/>
    <col customWidth="1" min="7" max="7" width="14.38"/>
  </cols>
  <sheetData>
    <row r="1" ht="14.25" customHeight="1">
      <c r="A1" s="1"/>
      <c r="B1" s="2"/>
      <c r="C1" s="1" t="s">
        <v>0</v>
      </c>
      <c r="D1" s="3"/>
      <c r="E1" s="3"/>
      <c r="F1" s="2"/>
      <c r="G1" s="4" t="s">
        <v>1</v>
      </c>
    </row>
    <row r="2" ht="14.25" customHeight="1">
      <c r="A2" s="5"/>
      <c r="B2" s="6"/>
      <c r="C2" s="5"/>
      <c r="F2" s="6"/>
      <c r="G2" s="7" t="s">
        <v>2</v>
      </c>
    </row>
    <row r="3" ht="14.25" customHeight="1">
      <c r="A3" s="5"/>
      <c r="B3" s="6"/>
      <c r="C3" s="5"/>
      <c r="F3" s="6"/>
      <c r="G3" s="7" t="s">
        <v>3</v>
      </c>
    </row>
    <row r="4" ht="14.25" customHeight="1">
      <c r="A4" s="8"/>
      <c r="B4" s="9"/>
      <c r="C4" s="8"/>
      <c r="D4" s="10"/>
      <c r="E4" s="10"/>
      <c r="F4" s="9"/>
      <c r="G4" s="7" t="s">
        <v>72</v>
      </c>
    </row>
    <row r="5" ht="14.25" customHeight="1"/>
    <row r="6" ht="14.25" customHeight="1"/>
    <row r="7" ht="24.0" customHeight="1">
      <c r="A7" s="65" t="s">
        <v>53</v>
      </c>
      <c r="B7" s="65" t="s">
        <v>6</v>
      </c>
      <c r="C7" s="65" t="s">
        <v>7</v>
      </c>
      <c r="D7" s="65" t="s">
        <v>73</v>
      </c>
      <c r="E7" s="65" t="s">
        <v>12</v>
      </c>
      <c r="F7" s="65" t="s">
        <v>13</v>
      </c>
      <c r="G7" s="65" t="s">
        <v>74</v>
      </c>
    </row>
    <row r="8" ht="15.0" customHeight="1">
      <c r="A8" s="66">
        <v>46266.0</v>
      </c>
      <c r="B8" s="66" t="s">
        <v>14</v>
      </c>
      <c r="C8" s="66" t="s">
        <v>15</v>
      </c>
      <c r="D8" s="66" t="s">
        <v>75</v>
      </c>
      <c r="E8" s="67">
        <v>630.0</v>
      </c>
      <c r="F8" s="68">
        <v>1.1091092E7</v>
      </c>
      <c r="G8" s="69">
        <v>1987.0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66">
        <v>46266.0</v>
      </c>
      <c r="B9" s="66" t="s">
        <v>14</v>
      </c>
      <c r="C9" s="66" t="s">
        <v>15</v>
      </c>
      <c r="D9" s="66" t="s">
        <v>76</v>
      </c>
      <c r="E9" s="67">
        <v>801.0</v>
      </c>
      <c r="F9" s="68">
        <v>1.1091902E7</v>
      </c>
      <c r="G9" s="69">
        <v>1988.0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66">
        <v>46266.0</v>
      </c>
      <c r="B10" s="66" t="s">
        <v>14</v>
      </c>
      <c r="C10" s="66" t="s">
        <v>15</v>
      </c>
      <c r="D10" s="66" t="s">
        <v>77</v>
      </c>
      <c r="E10" s="67">
        <v>672.0</v>
      </c>
      <c r="F10" s="68">
        <v>1.1092574E7</v>
      </c>
      <c r="G10" s="69">
        <v>1989.0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66">
        <v>46266.0</v>
      </c>
      <c r="B11" s="66" t="s">
        <v>14</v>
      </c>
      <c r="C11" s="66" t="s">
        <v>15</v>
      </c>
      <c r="D11" s="66" t="s">
        <v>78</v>
      </c>
      <c r="E11" s="67">
        <v>649.0</v>
      </c>
      <c r="F11" s="68">
        <v>1.1093224E7</v>
      </c>
      <c r="G11" s="69">
        <v>1990.0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66">
        <v>46269.0</v>
      </c>
      <c r="B12" s="66" t="s">
        <v>14</v>
      </c>
      <c r="C12" s="66" t="s">
        <v>15</v>
      </c>
      <c r="D12" s="66" t="s">
        <v>75</v>
      </c>
      <c r="E12" s="67">
        <v>453.0</v>
      </c>
      <c r="F12" s="68">
        <v>1.1094792E7</v>
      </c>
      <c r="G12" s="69">
        <v>1991.0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0" customHeight="1">
      <c r="A13" s="66">
        <v>46269.0</v>
      </c>
      <c r="B13" s="66" t="s">
        <v>14</v>
      </c>
      <c r="C13" s="66" t="s">
        <v>15</v>
      </c>
      <c r="D13" s="66" t="s">
        <v>77</v>
      </c>
      <c r="E13" s="67">
        <v>532.0</v>
      </c>
      <c r="F13" s="68">
        <v>1.1095323E7</v>
      </c>
      <c r="G13" s="69">
        <v>1992.0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0" customHeight="1">
      <c r="A14" s="66">
        <v>46269.0</v>
      </c>
      <c r="B14" s="66" t="s">
        <v>14</v>
      </c>
      <c r="C14" s="66" t="s">
        <v>15</v>
      </c>
      <c r="D14" s="66" t="s">
        <v>78</v>
      </c>
      <c r="E14" s="67">
        <v>518.0</v>
      </c>
      <c r="F14" s="68">
        <v>1.1095841E7</v>
      </c>
      <c r="G14" s="69">
        <v>1993.0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0" customHeight="1">
      <c r="A15" s="66">
        <v>46269.0</v>
      </c>
      <c r="B15" s="66" t="s">
        <v>14</v>
      </c>
      <c r="C15" s="66" t="s">
        <v>15</v>
      </c>
      <c r="D15" s="66" t="s">
        <v>76</v>
      </c>
      <c r="E15" s="67">
        <v>535.0</v>
      </c>
      <c r="F15" s="68">
        <v>1.1096376E7</v>
      </c>
      <c r="G15" s="69">
        <v>1994.0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0" customHeight="1">
      <c r="A16" s="66">
        <v>46273.0</v>
      </c>
      <c r="B16" s="66" t="s">
        <v>14</v>
      </c>
      <c r="C16" s="66" t="s">
        <v>15</v>
      </c>
      <c r="D16" s="66" t="s">
        <v>75</v>
      </c>
      <c r="E16" s="67">
        <v>637.0</v>
      </c>
      <c r="F16" s="68">
        <v>1.1098094E7</v>
      </c>
      <c r="G16" s="69">
        <v>1995.0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0" customHeight="1">
      <c r="A17" s="66">
        <v>46273.0</v>
      </c>
      <c r="B17" s="66" t="s">
        <v>14</v>
      </c>
      <c r="C17" s="66" t="s">
        <v>15</v>
      </c>
      <c r="D17" s="66" t="s">
        <v>76</v>
      </c>
      <c r="E17" s="67">
        <v>770.0</v>
      </c>
      <c r="F17" s="68">
        <v>1.1099534E7</v>
      </c>
      <c r="G17" s="69">
        <v>1996.0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0" customHeight="1">
      <c r="A18" s="66">
        <v>46273.0</v>
      </c>
      <c r="B18" s="66" t="s">
        <v>14</v>
      </c>
      <c r="C18" s="66" t="s">
        <v>15</v>
      </c>
      <c r="D18" s="66" t="s">
        <v>79</v>
      </c>
      <c r="E18" s="67">
        <v>670.0</v>
      </c>
      <c r="F18" s="68">
        <v>1.1098764E7</v>
      </c>
      <c r="G18" s="69">
        <v>1997.0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0" customHeight="1">
      <c r="A19" s="66">
        <v>46273.0</v>
      </c>
      <c r="B19" s="66" t="s">
        <v>14</v>
      </c>
      <c r="C19" s="66" t="s">
        <v>15</v>
      </c>
      <c r="D19" s="66" t="s">
        <v>78</v>
      </c>
      <c r="E19" s="67">
        <v>574.0</v>
      </c>
      <c r="F19" s="68">
        <v>1.1100108E7</v>
      </c>
      <c r="G19" s="69">
        <v>1998.0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0" customHeight="1">
      <c r="A20" s="66">
        <v>46274.0</v>
      </c>
      <c r="B20" s="66" t="s">
        <v>14</v>
      </c>
      <c r="C20" s="66" t="s">
        <v>15</v>
      </c>
      <c r="D20" s="66" t="s">
        <v>76</v>
      </c>
      <c r="E20" s="67">
        <v>703.0</v>
      </c>
      <c r="F20" s="68">
        <v>1.1101045E7</v>
      </c>
      <c r="G20" s="69">
        <v>1999.0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0" customHeight="1">
      <c r="A21" s="66">
        <v>46274.0</v>
      </c>
      <c r="B21" s="66" t="s">
        <v>14</v>
      </c>
      <c r="C21" s="66" t="s">
        <v>15</v>
      </c>
      <c r="D21" s="66" t="s">
        <v>75</v>
      </c>
      <c r="E21" s="67">
        <v>624.0</v>
      </c>
      <c r="F21" s="68">
        <v>1.110167E7</v>
      </c>
      <c r="G21" s="69">
        <v>2000.0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0" customHeight="1">
      <c r="A22" s="66">
        <v>46274.0</v>
      </c>
      <c r="B22" s="66" t="s">
        <v>14</v>
      </c>
      <c r="C22" s="66" t="s">
        <v>15</v>
      </c>
      <c r="D22" s="66" t="s">
        <v>79</v>
      </c>
      <c r="E22" s="67">
        <v>653.0</v>
      </c>
      <c r="F22" s="68">
        <v>1.1102323E7</v>
      </c>
      <c r="G22" s="69">
        <v>2001.0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0" customHeight="1">
      <c r="A23" s="66">
        <v>46274.0</v>
      </c>
      <c r="B23" s="66" t="s">
        <v>14</v>
      </c>
      <c r="C23" s="66" t="s">
        <v>15</v>
      </c>
      <c r="D23" s="66" t="s">
        <v>78</v>
      </c>
      <c r="E23" s="67">
        <v>633.0</v>
      </c>
      <c r="F23" s="68">
        <v>1.1102956E7</v>
      </c>
      <c r="G23" s="69">
        <v>2002.0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0" customHeight="1">
      <c r="A24" s="66">
        <v>46275.0</v>
      </c>
      <c r="B24" s="66" t="s">
        <v>14</v>
      </c>
      <c r="C24" s="66" t="s">
        <v>15</v>
      </c>
      <c r="D24" s="66" t="s">
        <v>80</v>
      </c>
      <c r="E24" s="67">
        <v>765.0</v>
      </c>
      <c r="F24" s="68">
        <v>1.1104192E7</v>
      </c>
      <c r="G24" s="69">
        <v>2003.0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0" customHeight="1">
      <c r="A25" s="66">
        <v>46275.0</v>
      </c>
      <c r="B25" s="66" t="s">
        <v>14</v>
      </c>
      <c r="C25" s="66" t="s">
        <v>15</v>
      </c>
      <c r="D25" s="66" t="s">
        <v>75</v>
      </c>
      <c r="E25" s="67">
        <v>235.0</v>
      </c>
      <c r="F25" s="68">
        <v>1.1104427E7</v>
      </c>
      <c r="G25" s="69">
        <v>2004.0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0" customHeight="1">
      <c r="A26" s="66">
        <v>46275.0</v>
      </c>
      <c r="B26" s="66" t="s">
        <v>14</v>
      </c>
      <c r="C26" s="66" t="s">
        <v>15</v>
      </c>
      <c r="D26" s="66" t="s">
        <v>76</v>
      </c>
      <c r="E26" s="67">
        <v>220.0</v>
      </c>
      <c r="F26" s="68">
        <v>1.1104647E7</v>
      </c>
      <c r="G26" s="69">
        <v>2005.0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0" customHeight="1">
      <c r="A27" s="66">
        <v>46275.0</v>
      </c>
      <c r="B27" s="66" t="s">
        <v>14</v>
      </c>
      <c r="C27" s="66" t="s">
        <v>15</v>
      </c>
      <c r="D27" s="66" t="s">
        <v>79</v>
      </c>
      <c r="E27" s="67">
        <v>236.0</v>
      </c>
      <c r="F27" s="68">
        <v>1.1104883E7</v>
      </c>
      <c r="G27" s="69">
        <v>2006.0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0" customHeight="1">
      <c r="A28" s="66">
        <v>46275.0</v>
      </c>
      <c r="B28" s="66" t="s">
        <v>14</v>
      </c>
      <c r="C28" s="66" t="s">
        <v>15</v>
      </c>
      <c r="D28" s="66" t="s">
        <v>78</v>
      </c>
      <c r="E28" s="67">
        <v>226.0</v>
      </c>
      <c r="F28" s="68">
        <v>1.1105109E7</v>
      </c>
      <c r="G28" s="69">
        <v>2007.0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0" customHeight="1">
      <c r="A29" s="66">
        <v>46276.0</v>
      </c>
      <c r="B29" s="66" t="s">
        <v>14</v>
      </c>
      <c r="C29" s="66" t="s">
        <v>15</v>
      </c>
      <c r="D29" s="66" t="s">
        <v>76</v>
      </c>
      <c r="E29" s="67">
        <v>760.0</v>
      </c>
      <c r="F29" s="68">
        <v>1.1105989E7</v>
      </c>
      <c r="G29" s="69">
        <v>2008.0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66">
        <v>46276.0</v>
      </c>
      <c r="B30" s="66" t="s">
        <v>14</v>
      </c>
      <c r="C30" s="66" t="s">
        <v>15</v>
      </c>
      <c r="D30" s="66" t="s">
        <v>79</v>
      </c>
      <c r="E30" s="67">
        <v>694.0</v>
      </c>
      <c r="F30" s="68">
        <v>1.110669E7</v>
      </c>
      <c r="G30" s="69">
        <v>2009.0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0" customHeight="1">
      <c r="A31" s="66">
        <v>46276.0</v>
      </c>
      <c r="B31" s="66" t="s">
        <v>14</v>
      </c>
      <c r="C31" s="66" t="s">
        <v>15</v>
      </c>
      <c r="D31" s="66" t="s">
        <v>80</v>
      </c>
      <c r="E31" s="67">
        <v>650.0</v>
      </c>
      <c r="F31" s="68">
        <v>1.110734E7</v>
      </c>
      <c r="G31" s="69">
        <v>2010.0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0" customHeight="1">
      <c r="A32" s="66">
        <v>46276.0</v>
      </c>
      <c r="B32" s="66" t="s">
        <v>14</v>
      </c>
      <c r="C32" s="66" t="s">
        <v>15</v>
      </c>
      <c r="D32" s="66" t="s">
        <v>75</v>
      </c>
      <c r="E32" s="67">
        <v>545.0</v>
      </c>
      <c r="F32" s="68">
        <v>1.1107925E7</v>
      </c>
      <c r="G32" s="69">
        <v>2011.0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32.25" customHeight="1">
      <c r="A33" s="44" t="str">
        <f>'CONTROL GASOIL INTERNO'!A46</f>
        <v>CIERRE DEL 01/09 AL 30/09</v>
      </c>
      <c r="B33" s="27"/>
      <c r="C33" s="27"/>
      <c r="D33" s="27"/>
      <c r="E33" s="27"/>
      <c r="F33" s="27"/>
      <c r="G33" s="2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0" customHeight="1">
      <c r="A34" s="29"/>
      <c r="B34" s="29"/>
      <c r="C34" s="29"/>
      <c r="D34" s="29"/>
      <c r="E34" s="29"/>
      <c r="F34" s="2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0" customHeight="1">
      <c r="A35" s="29"/>
      <c r="B35" s="29"/>
      <c r="C35" s="29"/>
      <c r="D35" s="29"/>
      <c r="E35" s="29"/>
      <c r="F35" s="2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0" customHeight="1">
      <c r="A36" s="29"/>
      <c r="B36" s="29"/>
      <c r="C36" s="29"/>
      <c r="D36" s="29"/>
      <c r="E36" s="29"/>
      <c r="F36" s="2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0" customHeight="1">
      <c r="A37" s="29"/>
      <c r="B37" s="29"/>
      <c r="C37" s="29"/>
      <c r="D37" s="29"/>
      <c r="E37" s="29"/>
      <c r="F37" s="2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1.0" customHeight="1">
      <c r="B38" s="70"/>
      <c r="D38" s="71" t="s">
        <v>81</v>
      </c>
      <c r="E38" s="32" t="str">
        <f>SUM(E8:E32)</f>
        <v>14,385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</sheetData>
  <mergeCells count="3">
    <mergeCell ref="A1:B4"/>
    <mergeCell ref="C1:F4"/>
    <mergeCell ref="A33:G3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63"/>
    <col customWidth="1" min="3" max="3" width="19.63"/>
    <col customWidth="1" min="4" max="4" width="12.5"/>
    <col customWidth="1" min="5" max="5" width="20.38"/>
    <col customWidth="1" min="6" max="6" width="14.63"/>
    <col customWidth="1" min="7" max="7" width="16.0"/>
    <col customWidth="1" min="8" max="8" width="20.0"/>
    <col customWidth="1" hidden="1" min="9" max="9" width="23.13"/>
    <col customWidth="1" min="10" max="10" width="15.75"/>
    <col customWidth="1" min="11" max="11" width="15.13"/>
  </cols>
  <sheetData>
    <row r="1" ht="25.5" customHeight="1">
      <c r="A1" s="1"/>
      <c r="B1" s="2"/>
      <c r="C1" s="1" t="s">
        <v>0</v>
      </c>
      <c r="D1" s="3"/>
      <c r="E1" s="3"/>
      <c r="F1" s="3"/>
      <c r="G1" s="3"/>
      <c r="H1" s="3"/>
      <c r="I1" s="3"/>
      <c r="J1" s="2"/>
      <c r="K1" s="4" t="s">
        <v>1</v>
      </c>
    </row>
    <row r="2" ht="14.25" customHeight="1">
      <c r="A2" s="5"/>
      <c r="B2" s="6"/>
      <c r="C2" s="5"/>
      <c r="J2" s="6"/>
      <c r="K2" s="7" t="s">
        <v>2</v>
      </c>
    </row>
    <row r="3" ht="14.25" customHeight="1">
      <c r="A3" s="5"/>
      <c r="B3" s="6"/>
      <c r="C3" s="5"/>
      <c r="J3" s="6"/>
      <c r="K3" s="7" t="s">
        <v>3</v>
      </c>
    </row>
    <row r="4" ht="14.25" customHeight="1">
      <c r="A4" s="8"/>
      <c r="B4" s="9"/>
      <c r="C4" s="8"/>
      <c r="D4" s="10"/>
      <c r="E4" s="10"/>
      <c r="F4" s="10"/>
      <c r="G4" s="10"/>
      <c r="H4" s="10"/>
      <c r="I4" s="10"/>
      <c r="J4" s="9"/>
      <c r="K4" s="7" t="s">
        <v>82</v>
      </c>
    </row>
    <row r="5" ht="14.25" customHeight="1"/>
    <row r="6" ht="14.25" customHeight="1"/>
    <row r="7" ht="51.75" customHeight="1">
      <c r="A7" s="11" t="s">
        <v>53</v>
      </c>
      <c r="B7" s="11" t="s">
        <v>6</v>
      </c>
      <c r="C7" s="11" t="s">
        <v>7</v>
      </c>
      <c r="D7" s="11" t="s">
        <v>83</v>
      </c>
      <c r="E7" s="11" t="s">
        <v>84</v>
      </c>
      <c r="F7" s="11" t="s">
        <v>57</v>
      </c>
      <c r="G7" s="11" t="s">
        <v>8</v>
      </c>
      <c r="H7" s="11" t="s">
        <v>9</v>
      </c>
      <c r="I7" s="72" t="s">
        <v>11</v>
      </c>
      <c r="J7" s="11" t="s">
        <v>85</v>
      </c>
      <c r="K7" s="11" t="s">
        <v>86</v>
      </c>
    </row>
    <row r="8" ht="15.0" customHeight="1">
      <c r="A8" s="73">
        <v>46288.0</v>
      </c>
      <c r="B8" s="74" t="s">
        <v>87</v>
      </c>
      <c r="C8" s="74" t="s">
        <v>15</v>
      </c>
      <c r="D8" s="75" t="s">
        <v>29</v>
      </c>
      <c r="E8" s="76"/>
      <c r="F8" s="77"/>
      <c r="G8" s="74" t="s">
        <v>88</v>
      </c>
      <c r="H8" s="78"/>
      <c r="I8" s="74"/>
      <c r="J8" s="79">
        <v>500.0</v>
      </c>
      <c r="K8" s="74" t="s">
        <v>15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73">
        <v>46293.0</v>
      </c>
      <c r="B9" s="74" t="s">
        <v>87</v>
      </c>
      <c r="C9" s="74" t="s">
        <v>15</v>
      </c>
      <c r="D9" s="75" t="s">
        <v>29</v>
      </c>
      <c r="E9" s="76"/>
      <c r="F9" s="77"/>
      <c r="G9" s="74" t="s">
        <v>88</v>
      </c>
      <c r="H9" s="78"/>
      <c r="I9" s="74"/>
      <c r="J9" s="79">
        <v>1500.0</v>
      </c>
      <c r="K9" s="74" t="s">
        <v>15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0" customHeight="1">
      <c r="A10" s="80">
        <v>46263.0</v>
      </c>
      <c r="B10" s="81" t="s">
        <v>87</v>
      </c>
      <c r="C10" s="81" t="s">
        <v>15</v>
      </c>
      <c r="D10" s="82" t="s">
        <v>89</v>
      </c>
      <c r="E10" s="82" t="s">
        <v>90</v>
      </c>
      <c r="F10" s="81" t="s">
        <v>91</v>
      </c>
      <c r="G10" s="81" t="s">
        <v>88</v>
      </c>
      <c r="H10" s="83" t="s">
        <v>92</v>
      </c>
      <c r="I10" s="84">
        <v>15432.0</v>
      </c>
      <c r="J10" s="84">
        <v>15432.0</v>
      </c>
      <c r="K10" s="85" t="s">
        <v>15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0.0" customHeight="1">
      <c r="A11" s="44" t="str">
        <f>'CONTROL GASOIL INTERNO'!A46</f>
        <v>CIERRE DEL 01/09 AL 30/09</v>
      </c>
      <c r="B11" s="27"/>
      <c r="C11" s="27"/>
      <c r="D11" s="27"/>
      <c r="E11" s="27"/>
      <c r="F11" s="27"/>
      <c r="G11" s="27"/>
      <c r="H11" s="27"/>
      <c r="I11" s="27"/>
      <c r="J11" s="27"/>
      <c r="K11" s="2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0.0" customHeight="1">
      <c r="A12" s="29"/>
      <c r="B12" s="29"/>
      <c r="C12" s="29"/>
      <c r="D12" s="29"/>
      <c r="E12" s="29"/>
      <c r="F12" s="86"/>
      <c r="G12" s="87"/>
      <c r="H12" s="29"/>
      <c r="I12" s="29"/>
      <c r="J12" s="29"/>
      <c r="K12" s="8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0.0" customHeight="1">
      <c r="A13" s="29"/>
      <c r="B13" s="29"/>
      <c r="C13" s="29"/>
      <c r="D13" s="29"/>
      <c r="E13" s="29"/>
      <c r="F13" s="86"/>
      <c r="G13" s="87"/>
      <c r="H13" s="29"/>
      <c r="I13" s="29"/>
      <c r="J13" s="29"/>
      <c r="K13" s="8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0.0" customHeight="1">
      <c r="A14" s="29"/>
      <c r="B14" s="29"/>
      <c r="C14" s="29"/>
      <c r="D14" s="29"/>
      <c r="E14" s="29"/>
      <c r="F14" s="89" t="s">
        <v>87</v>
      </c>
      <c r="G14" s="32" t="str">
        <f>SUM(J8:J10)</f>
        <v>17,432</v>
      </c>
      <c r="H14" s="29"/>
      <c r="I14" s="29"/>
      <c r="J14" s="29"/>
      <c r="K14" s="8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30.0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8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0.0" customHeight="1">
      <c r="A16" s="29"/>
      <c r="B16" s="29"/>
      <c r="C16" s="90"/>
      <c r="D16" s="90"/>
      <c r="E16" s="90"/>
      <c r="F16" s="29"/>
      <c r="G16" s="29"/>
      <c r="H16" s="29"/>
      <c r="I16" s="29"/>
      <c r="J16" s="29"/>
      <c r="K16" s="8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0.0" customHeight="1">
      <c r="A17" s="29"/>
      <c r="B17" s="91"/>
      <c r="C17" s="92"/>
      <c r="D17" s="92"/>
      <c r="E17" s="93"/>
      <c r="F17" s="94"/>
      <c r="G17" s="95"/>
      <c r="H17" s="96" t="s">
        <v>93</v>
      </c>
      <c r="I17" s="29"/>
      <c r="J17" s="97">
        <v>21341.0</v>
      </c>
      <c r="K17" s="8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3.0" customHeight="1">
      <c r="C18" s="93"/>
      <c r="D18" s="98"/>
      <c r="E18" s="99"/>
      <c r="F18" s="100"/>
      <c r="G18" s="95"/>
      <c r="H18" s="96" t="s">
        <v>94</v>
      </c>
      <c r="I18" s="101" t="s">
        <v>95</v>
      </c>
      <c r="J18" s="97" t="str">
        <f>G14</f>
        <v>17,432</v>
      </c>
    </row>
    <row r="19" ht="32.25" customHeight="1">
      <c r="C19" s="93"/>
      <c r="D19" s="98"/>
      <c r="E19" s="102"/>
      <c r="G19" s="95"/>
      <c r="H19" s="96" t="s">
        <v>96</v>
      </c>
      <c r="I19" s="103"/>
      <c r="J19" s="97" t="str">
        <f>J18+J17</f>
        <v>38,773</v>
      </c>
    </row>
    <row r="20" ht="30.75" customHeight="1">
      <c r="C20" s="93"/>
      <c r="D20" s="98"/>
      <c r="E20" s="99"/>
      <c r="G20" s="95"/>
      <c r="H20" s="104" t="s">
        <v>97</v>
      </c>
      <c r="I20" s="103"/>
      <c r="J20" s="97" t="str">
        <f>SUM('CONTROL GASOIL  ZU-CONCRETO'!E38+'CONTROL GASOIL VOLTEO SINDICATO'!J19+'GASOIL DESPACHO DE PLANTA'!G22+'CONTROL GASOIL INTERNO'!H49)</f>
        <v>23,946</v>
      </c>
      <c r="K20" s="19"/>
    </row>
    <row r="21" ht="30.75" customHeight="1">
      <c r="A21" s="19"/>
      <c r="B21" s="19"/>
      <c r="C21" s="93"/>
      <c r="D21" s="98"/>
      <c r="E21" s="99"/>
      <c r="F21" s="19"/>
      <c r="G21" s="95"/>
      <c r="H21" s="96" t="s">
        <v>96</v>
      </c>
      <c r="I21" s="105" t="s">
        <v>98</v>
      </c>
      <c r="J21" s="97" t="str">
        <f>J19-J20</f>
        <v>14,827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30.75" customHeight="1">
      <c r="A22" s="19"/>
      <c r="B22" s="19"/>
      <c r="C22" s="106"/>
      <c r="D22" s="107"/>
      <c r="E22" s="19"/>
      <c r="F22" s="19"/>
      <c r="H22" s="95"/>
      <c r="I22" s="108"/>
      <c r="J22" s="10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30.75" customHeight="1">
      <c r="G23" s="110"/>
      <c r="H23" s="95"/>
      <c r="I23" s="111"/>
      <c r="J23" s="112"/>
    </row>
    <row r="24" ht="30.75" customHeight="1">
      <c r="H24" s="19"/>
      <c r="I24" s="113" t="s">
        <v>99</v>
      </c>
      <c r="J24" s="19"/>
    </row>
    <row r="25" ht="14.25" customHeight="1">
      <c r="J25" s="114"/>
    </row>
    <row r="26" ht="14.25" customHeight="1">
      <c r="J26" s="115"/>
    </row>
    <row r="27" ht="14.25" customHeight="1">
      <c r="J27" s="11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I33" s="19" t="s">
        <v>100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</sheetData>
  <mergeCells count="5">
    <mergeCell ref="A1:B4"/>
    <mergeCell ref="C1:J4"/>
    <mergeCell ref="D8:E8"/>
    <mergeCell ref="D9:E9"/>
    <mergeCell ref="A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2026-02-21T15:03:25Z</dcterms:created>
  <dc:creator>ORANGE</dc:creator>
</cp:coreProperties>
</file>